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D:\MyStuff\TCT\GREATer PROJECT\reportforfinancialpartforgreaterproject\"/>
    </mc:Choice>
  </mc:AlternateContent>
  <xr:revisionPtr revIDLastSave="0" documentId="13_ncr:1_{5E87FB16-9CB9-465C-8D7F-BF1C4BF7F044}" xr6:coauthVersionLast="47" xr6:coauthVersionMax="47" xr10:uidLastSave="{00000000-0000-0000-0000-000000000000}"/>
  <bookViews>
    <workbookView xWindow="-120" yWindow="-120" windowWidth="20730" windowHeight="11280" activeTab="2" xr2:uid="{00000000-000D-0000-FFFF-FFFF00000000}"/>
  </bookViews>
  <sheets>
    <sheet name="Read me first" sheetId="1" r:id="rId1"/>
    <sheet name="Summary" sheetId="2" r:id="rId2"/>
    <sheet name="timesheet" sheetId="3" r:id="rId3"/>
    <sheet name="January23" sheetId="4" state="hidden" r:id="rId4"/>
    <sheet name="February23" sheetId="5" state="hidden" r:id="rId5"/>
    <sheet name="March23" sheetId="6" state="hidden" r:id="rId6"/>
    <sheet name="April23" sheetId="7" state="hidden" r:id="rId7"/>
    <sheet name="May23" sheetId="8" state="hidden" r:id="rId8"/>
    <sheet name="June23" sheetId="9" state="hidden" r:id="rId9"/>
    <sheet name="July23" sheetId="10" state="hidden" r:id="rId10"/>
    <sheet name="August23" sheetId="11" state="hidden" r:id="rId11"/>
    <sheet name="September23" sheetId="12" state="hidden" r:id="rId12"/>
    <sheet name="October23" sheetId="13" state="hidden" r:id="rId13"/>
    <sheet name="November23" sheetId="14" state="hidden" r:id="rId14"/>
    <sheet name="December23" sheetId="15" state="hidden" r:id="rId15"/>
    <sheet name="January24" sheetId="16" state="hidden" r:id="rId16"/>
    <sheet name="February24" sheetId="17" state="hidden" r:id="rId17"/>
    <sheet name="March24" sheetId="18" state="hidden" r:id="rId18"/>
    <sheet name="April24" sheetId="19" state="hidden" r:id="rId19"/>
    <sheet name="May24" sheetId="20" state="hidden" r:id="rId20"/>
    <sheet name="June24" sheetId="21" state="hidden" r:id="rId21"/>
    <sheet name="Drop-down lists" sheetId="22" r:id="rId22"/>
  </sheets>
  <definedNames>
    <definedName name="_xlnm._FilterDatabase" localSheetId="21" hidden="1">'Drop-down lists'!$L$24:$L$32</definedName>
    <definedName name="List_categst">#REF!</definedName>
    <definedName name="List_days">#REF!</definedName>
    <definedName name="list_io">#REF!</definedName>
    <definedName name="List_months">#REF!</definedName>
    <definedName name="List_Yea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5" i="21" l="1"/>
  <c r="K10" i="21"/>
  <c r="K9" i="21"/>
  <c r="K8" i="21"/>
  <c r="K7" i="21"/>
  <c r="E33" i="2" s="1"/>
  <c r="K6" i="21"/>
  <c r="K5" i="21"/>
  <c r="K4" i="21"/>
  <c r="C4" i="21"/>
  <c r="C2" i="21"/>
  <c r="A35" i="20"/>
  <c r="K10" i="20"/>
  <c r="K9" i="20"/>
  <c r="K8" i="20"/>
  <c r="K7" i="20"/>
  <c r="K6" i="20"/>
  <c r="K5" i="20"/>
  <c r="K4" i="20"/>
  <c r="C4" i="20"/>
  <c r="C2" i="20"/>
  <c r="A35" i="19"/>
  <c r="K10" i="19"/>
  <c r="K9" i="19"/>
  <c r="G31" i="2" s="1"/>
  <c r="K8" i="19"/>
  <c r="K7" i="19"/>
  <c r="E31" i="2" s="1"/>
  <c r="K6" i="19"/>
  <c r="K5" i="19"/>
  <c r="C31" i="2" s="1"/>
  <c r="K4" i="19"/>
  <c r="C4" i="19"/>
  <c r="C2" i="19"/>
  <c r="A35" i="18"/>
  <c r="K10" i="18"/>
  <c r="K9" i="18"/>
  <c r="K8" i="18"/>
  <c r="K7" i="18"/>
  <c r="K6" i="18"/>
  <c r="K5" i="18"/>
  <c r="C30" i="2" s="1"/>
  <c r="K4" i="18"/>
  <c r="C4" i="18"/>
  <c r="C2" i="18"/>
  <c r="A35" i="17"/>
  <c r="K10" i="17"/>
  <c r="K9" i="17"/>
  <c r="K8" i="17"/>
  <c r="K7" i="17"/>
  <c r="E29" i="2" s="1"/>
  <c r="K6" i="17"/>
  <c r="K5" i="17"/>
  <c r="K4" i="17"/>
  <c r="C4" i="17"/>
  <c r="C2" i="17"/>
  <c r="A35" i="16"/>
  <c r="K10" i="16"/>
  <c r="K9" i="16"/>
  <c r="K8" i="16"/>
  <c r="K7" i="16"/>
  <c r="K6" i="16"/>
  <c r="K5" i="16"/>
  <c r="K4" i="16"/>
  <c r="C4" i="16"/>
  <c r="C2" i="16"/>
  <c r="A35" i="15"/>
  <c r="K10" i="15"/>
  <c r="K9" i="15"/>
  <c r="G27" i="2" s="1"/>
  <c r="K8" i="15"/>
  <c r="K7" i="15"/>
  <c r="E27" i="2" s="1"/>
  <c r="K6" i="15"/>
  <c r="K5" i="15"/>
  <c r="C27" i="2" s="1"/>
  <c r="K4" i="15"/>
  <c r="C4" i="15"/>
  <c r="C2" i="15"/>
  <c r="A35" i="14"/>
  <c r="K10" i="14"/>
  <c r="K9" i="14"/>
  <c r="G26" i="2" s="1"/>
  <c r="K8" i="14"/>
  <c r="K7" i="14"/>
  <c r="K6" i="14"/>
  <c r="K5" i="14"/>
  <c r="C26" i="2" s="1"/>
  <c r="K4" i="14"/>
  <c r="C4" i="14"/>
  <c r="C2" i="14"/>
  <c r="A35" i="13"/>
  <c r="K10" i="13"/>
  <c r="K9" i="13"/>
  <c r="K8" i="13"/>
  <c r="K7" i="13"/>
  <c r="E25" i="2" s="1"/>
  <c r="K6" i="13"/>
  <c r="K5" i="13"/>
  <c r="K4" i="13"/>
  <c r="C4" i="13"/>
  <c r="C2" i="13"/>
  <c r="A35" i="12"/>
  <c r="K10" i="12"/>
  <c r="K9" i="12"/>
  <c r="K8" i="12"/>
  <c r="K7" i="12"/>
  <c r="K6" i="12"/>
  <c r="K5" i="12"/>
  <c r="K4" i="12"/>
  <c r="C4" i="12"/>
  <c r="C2" i="12"/>
  <c r="A35" i="11"/>
  <c r="K10" i="11"/>
  <c r="K9" i="11"/>
  <c r="G23" i="2" s="1"/>
  <c r="K8" i="11"/>
  <c r="K7" i="11"/>
  <c r="E23" i="2" s="1"/>
  <c r="K6" i="11"/>
  <c r="K5" i="11"/>
  <c r="C23" i="2" s="1"/>
  <c r="K4" i="11"/>
  <c r="C4" i="11"/>
  <c r="C2" i="11"/>
  <c r="A35" i="10"/>
  <c r="K10" i="10"/>
  <c r="K9" i="10"/>
  <c r="G22" i="2" s="1"/>
  <c r="K8" i="10"/>
  <c r="K7" i="10"/>
  <c r="K6" i="10"/>
  <c r="K5" i="10"/>
  <c r="C22" i="2" s="1"/>
  <c r="K4" i="10"/>
  <c r="C4" i="10"/>
  <c r="C2" i="10"/>
  <c r="A35" i="9"/>
  <c r="K10" i="9"/>
  <c r="K9" i="9"/>
  <c r="K8" i="9"/>
  <c r="K7" i="9"/>
  <c r="E21" i="2" s="1"/>
  <c r="K6" i="9"/>
  <c r="K5" i="9"/>
  <c r="K4" i="9"/>
  <c r="C4" i="9"/>
  <c r="C2" i="9"/>
  <c r="A35" i="8"/>
  <c r="K10" i="8"/>
  <c r="K9" i="8"/>
  <c r="K8" i="8"/>
  <c r="K7" i="8"/>
  <c r="K6" i="8"/>
  <c r="K5" i="8"/>
  <c r="K4" i="8"/>
  <c r="C4" i="8"/>
  <c r="C2" i="8"/>
  <c r="A35" i="7"/>
  <c r="K10" i="7"/>
  <c r="K9" i="7"/>
  <c r="G19" i="2" s="1"/>
  <c r="K8" i="7"/>
  <c r="K7" i="7"/>
  <c r="E19" i="2" s="1"/>
  <c r="K6" i="7"/>
  <c r="K5" i="7"/>
  <c r="C19" i="2" s="1"/>
  <c r="K4" i="7"/>
  <c r="C4" i="7"/>
  <c r="C2" i="7"/>
  <c r="A35" i="6"/>
  <c r="K10" i="6"/>
  <c r="K9" i="6"/>
  <c r="G18" i="2" s="1"/>
  <c r="K8" i="6"/>
  <c r="K7" i="6"/>
  <c r="K6" i="6"/>
  <c r="K5" i="6"/>
  <c r="C18" i="2" s="1"/>
  <c r="K4" i="6"/>
  <c r="C4" i="6"/>
  <c r="C2" i="6"/>
  <c r="A35" i="5"/>
  <c r="K10" i="5"/>
  <c r="K9" i="5"/>
  <c r="K8" i="5"/>
  <c r="K7" i="5"/>
  <c r="E17" i="2" s="1"/>
  <c r="E34" i="2" s="1"/>
  <c r="E35" i="2" s="1"/>
  <c r="K6" i="5"/>
  <c r="K5" i="5"/>
  <c r="K4" i="5"/>
  <c r="C4" i="5"/>
  <c r="C2" i="5"/>
  <c r="A35" i="4"/>
  <c r="K10" i="4"/>
  <c r="K9" i="4"/>
  <c r="K8" i="4"/>
  <c r="K7" i="4"/>
  <c r="K6" i="4"/>
  <c r="K5" i="4"/>
  <c r="K4" i="4"/>
  <c r="C4" i="4"/>
  <c r="C2" i="4"/>
  <c r="A53" i="3"/>
  <c r="K10" i="3"/>
  <c r="K9" i="3"/>
  <c r="K8" i="3"/>
  <c r="K7" i="3"/>
  <c r="K6" i="3"/>
  <c r="C6" i="3"/>
  <c r="K5" i="3"/>
  <c r="K4" i="3"/>
  <c r="C4" i="3"/>
  <c r="H33" i="2"/>
  <c r="G33" i="2"/>
  <c r="F33" i="2"/>
  <c r="D33" i="2"/>
  <c r="C33" i="2"/>
  <c r="B33" i="2"/>
  <c r="H32" i="2"/>
  <c r="G32" i="2"/>
  <c r="F32" i="2"/>
  <c r="E32" i="2"/>
  <c r="D32" i="2"/>
  <c r="C32" i="2"/>
  <c r="B32" i="2"/>
  <c r="H31" i="2"/>
  <c r="F31" i="2"/>
  <c r="D31" i="2"/>
  <c r="B31" i="2"/>
  <c r="H30" i="2"/>
  <c r="G30" i="2"/>
  <c r="F30" i="2"/>
  <c r="E30" i="2"/>
  <c r="D30" i="2"/>
  <c r="B30" i="2"/>
  <c r="H29" i="2"/>
  <c r="G29" i="2"/>
  <c r="F29" i="2"/>
  <c r="D29" i="2"/>
  <c r="C29" i="2"/>
  <c r="B29" i="2"/>
  <c r="H28" i="2"/>
  <c r="G28" i="2"/>
  <c r="F28" i="2"/>
  <c r="E28" i="2"/>
  <c r="D28" i="2"/>
  <c r="C28" i="2"/>
  <c r="B28" i="2"/>
  <c r="H27" i="2"/>
  <c r="F27" i="2"/>
  <c r="D27" i="2"/>
  <c r="B27" i="2"/>
  <c r="H26" i="2"/>
  <c r="F26" i="2"/>
  <c r="E26" i="2"/>
  <c r="D26" i="2"/>
  <c r="B26" i="2"/>
  <c r="H25" i="2"/>
  <c r="G25" i="2"/>
  <c r="F25" i="2"/>
  <c r="D25" i="2"/>
  <c r="C25" i="2"/>
  <c r="B25" i="2"/>
  <c r="H24" i="2"/>
  <c r="G24" i="2"/>
  <c r="F24" i="2"/>
  <c r="E24" i="2"/>
  <c r="D24" i="2"/>
  <c r="C24" i="2"/>
  <c r="B24" i="2"/>
  <c r="H23" i="2"/>
  <c r="F23" i="2"/>
  <c r="D23" i="2"/>
  <c r="B23" i="2"/>
  <c r="H22" i="2"/>
  <c r="F22" i="2"/>
  <c r="E22" i="2"/>
  <c r="D22" i="2"/>
  <c r="B22" i="2"/>
  <c r="H21" i="2"/>
  <c r="G21" i="2"/>
  <c r="F21" i="2"/>
  <c r="D21" i="2"/>
  <c r="C21" i="2"/>
  <c r="B21" i="2"/>
  <c r="H20" i="2"/>
  <c r="G20" i="2"/>
  <c r="F20" i="2"/>
  <c r="E20" i="2"/>
  <c r="D20" i="2"/>
  <c r="C20" i="2"/>
  <c r="B20" i="2"/>
  <c r="H19" i="2"/>
  <c r="F19" i="2"/>
  <c r="D19" i="2"/>
  <c r="B19" i="2"/>
  <c r="H18" i="2"/>
  <c r="F18" i="2"/>
  <c r="E18" i="2"/>
  <c r="D18" i="2"/>
  <c r="B18" i="2"/>
  <c r="H17" i="2"/>
  <c r="G17" i="2"/>
  <c r="F17" i="2"/>
  <c r="D17" i="2"/>
  <c r="C17" i="2"/>
  <c r="B17" i="2"/>
  <c r="H16" i="2"/>
  <c r="H34" i="2" s="1"/>
  <c r="H35" i="2" s="1"/>
  <c r="G16" i="2"/>
  <c r="F16" i="2"/>
  <c r="F34" i="2" s="1"/>
  <c r="F35" i="2" s="1"/>
  <c r="E16" i="2"/>
  <c r="D16" i="2"/>
  <c r="D34" i="2" s="1"/>
  <c r="D35" i="2" s="1"/>
  <c r="C16" i="2"/>
  <c r="B16" i="2"/>
  <c r="B34" i="2" s="1"/>
  <c r="B35" i="2" s="1"/>
  <c r="C34" i="2" l="1"/>
  <c r="C35" i="2" s="1"/>
  <c r="G34" i="2"/>
  <c r="G35" i="2" s="1"/>
</calcChain>
</file>

<file path=xl/sharedStrings.xml><?xml version="1.0" encoding="utf-8"?>
<sst xmlns="http://schemas.openxmlformats.org/spreadsheetml/2006/main" count="653" uniqueCount="129">
  <si>
    <t xml:space="preserve">Timesheet </t>
  </si>
  <si>
    <t>1. Why fill in the timesheet?</t>
  </si>
  <si>
    <t>The timesheet is a documentation instrument for all those working with the development of the intellectual outputs. The timesheets completed during the duration of the project must be keept by the beneficiary organisation and presented upon request to the National Agency granting the project or or other control abilitated EU bodies and third parts.</t>
  </si>
  <si>
    <t>2. When should you fill in the timesheet?</t>
  </si>
  <si>
    <t>The timesheet must be filled in monthly by each of the persons working on the project activities.</t>
  </si>
  <si>
    <t>3. Who should fill in the timesheet?</t>
  </si>
  <si>
    <t>All persons working part of your organization working on the project must fill in the timesheet. Based on the programme guide and the project application, those working are included in one of the next categories of staff:
Senior Lecturer, professor, junior Lecturer,  research assistant, technician, administrative</t>
  </si>
  <si>
    <t>4. How to use this template?</t>
  </si>
  <si>
    <t xml:space="preserve">The template is composed of the next:
- Summary page
- Page for each month of the year
- Drop down list. 
Those filling in the timesheets should fill the pages relevant for the months in which they have worked. Each individual page should be filled with the next information: name of the person, organisation, category of staff. In the table below it is possible to select Work package from a drop down list. All this informations will be summarised both on the page in work as well as on the summary page. 
</t>
  </si>
  <si>
    <t>Timesheet for project outputs</t>
  </si>
  <si>
    <t xml:space="preserve">Project name </t>
  </si>
  <si>
    <t>GREATER – Growing Rwanda Energy Awareness Through highER education</t>
  </si>
  <si>
    <t>Project ID</t>
  </si>
  <si>
    <t>101083081 ERASMUS-EDU-2022-CBHE</t>
  </si>
  <si>
    <t xml:space="preserve">Name </t>
  </si>
  <si>
    <t>Organisation</t>
  </si>
  <si>
    <t>Organization</t>
  </si>
  <si>
    <t>Category of staff</t>
  </si>
  <si>
    <t>WP1</t>
  </si>
  <si>
    <t>WP2</t>
  </si>
  <si>
    <t>WP3</t>
  </si>
  <si>
    <t>WP4</t>
  </si>
  <si>
    <t>WP5</t>
  </si>
  <si>
    <t>WP6</t>
  </si>
  <si>
    <t>WP7</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</si>
  <si>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</si>
  <si>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</si>
  <si>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</si>
  <si>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</si>
  <si>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</si>
  <si>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</si>
  <si>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</si>
  <si>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</si>
  <si>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</si>
  <si>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</si>
  <si>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</si>
  <si>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</si>
  <si>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</si>
  <si>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</si>
  <si>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</si>
  <si>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</si>
  <si>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</si>
  <si>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</si>
  <si>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Total hours</t>
  </si>
  <si>
    <t>Total days</t>
  </si>
  <si>
    <t>Summary</t>
  </si>
  <si>
    <t>Work Package</t>
  </si>
  <si>
    <t>Hours</t>
  </si>
  <si>
    <t>WP1 - Management and coordination</t>
  </si>
  <si>
    <t>WP2 - Collaboration design</t>
  </si>
  <si>
    <t>WP3 - Infrastructures</t>
  </si>
  <si>
    <t>Employee</t>
  </si>
  <si>
    <t>WP4 - Curricula design</t>
  </si>
  <si>
    <t>WP5 - Training and coaching</t>
  </si>
  <si>
    <t>Staff category</t>
  </si>
  <si>
    <t>WP6 - Transfer methodologies</t>
  </si>
  <si>
    <t>WP7 - Impact and dissemination</t>
  </si>
  <si>
    <t>Total number of hours</t>
  </si>
  <si>
    <t>Date (dd/mm/yyyy)</t>
  </si>
  <si>
    <t>Comments</t>
  </si>
  <si>
    <t>Date</t>
  </si>
  <si>
    <t>Signature of the staff member</t>
  </si>
  <si>
    <t>Signature of the person responsbile in the institution</t>
  </si>
  <si>
    <t>Month</t>
  </si>
  <si>
    <t>January</t>
  </si>
  <si>
    <t>Year</t>
  </si>
  <si>
    <t>Day</t>
  </si>
  <si>
    <t>February</t>
  </si>
  <si>
    <t>March</t>
  </si>
  <si>
    <t xml:space="preserve">April </t>
  </si>
  <si>
    <t>May</t>
  </si>
  <si>
    <t>June</t>
  </si>
  <si>
    <t>July</t>
  </si>
  <si>
    <t>August</t>
  </si>
  <si>
    <t>September</t>
  </si>
  <si>
    <t>October</t>
  </si>
  <si>
    <t>November</t>
  </si>
  <si>
    <t>December</t>
  </si>
  <si>
    <t>UNIPR - UNIVERSITÀ DEGLI STUDI DI PARMA</t>
  </si>
  <si>
    <t>Junior Lecturer / Research assistant</t>
  </si>
  <si>
    <t>Days</t>
  </si>
  <si>
    <t>Months</t>
  </si>
  <si>
    <t>Senior Lecturer / Professor</t>
  </si>
  <si>
    <t>Technician</t>
  </si>
  <si>
    <t>Administrative</t>
  </si>
  <si>
    <t>Other</t>
  </si>
  <si>
    <t>Number of hrs per working day</t>
  </si>
  <si>
    <t>HN - HOCHSCHULE NIEDERRHEIN,</t>
  </si>
  <si>
    <t>HBRS - HOCHSCHULE BONN-RHEIN-SIEG,</t>
  </si>
  <si>
    <t>UR - UNIVERSITY OF RWANDA,</t>
  </si>
  <si>
    <t>RP - RWANDA POLYTECHNIC</t>
  </si>
  <si>
    <t>INES - INSTITUT D'ENSEIGNEMENT SUPERIEUR DE RUHENGERI,</t>
  </si>
  <si>
    <t>UTAB - UNIVERSITY OF TECHNOLOGY AND ARTS OF BYUMBA,</t>
  </si>
  <si>
    <t>IMEM - CONSIGLIO NAZIONALE DELLE RICERCHE-IMEM,</t>
  </si>
  <si>
    <t>HIRWA Jean Luc</t>
  </si>
  <si>
    <t>Teachers/Trainers/Researchers</t>
  </si>
  <si>
    <t>Attended the official launch and kick-off meeting of the GREATER at INES Ruhengeri</t>
  </si>
  <si>
    <t>Attended the workshop day 1 @INES</t>
  </si>
  <si>
    <t>Attended the workshop day 2 @INES</t>
  </si>
  <si>
    <t>Visit the RP facilities</t>
  </si>
  <si>
    <t>Attended a Steering Committee Meeting</t>
  </si>
  <si>
    <t>Attended a team meeting at RP Tumba</t>
  </si>
  <si>
    <t>Planning a workshop on identification and design of our Living Lab requirements</t>
  </si>
  <si>
    <t>Workshop on identification and design of our Living Lab requirements</t>
  </si>
  <si>
    <t>Attended General Assembly/Launch of the GREATER Project @UR</t>
  </si>
  <si>
    <t>Attended the workshop day 1 @UR</t>
  </si>
  <si>
    <t>Attended the workshop day 2 @UR</t>
  </si>
  <si>
    <t>Attended the workshop day 3 @UR</t>
  </si>
  <si>
    <t>Local Coordination Meeting about the progress of the project</t>
  </si>
  <si>
    <t>Developing the dissemination plan and creation of Social Media handles</t>
  </si>
  <si>
    <t>Started developing the Project's website</t>
  </si>
  <si>
    <t>Developing Project's Website</t>
  </si>
  <si>
    <t>Had a meeting about Llab Tech with Mirco &amp; Eraste</t>
  </si>
  <si>
    <t>Bilateral Meeting with Prof Ciampolini</t>
  </si>
  <si>
    <t>Attended Workshop day 1 @HBRS</t>
  </si>
  <si>
    <t>16/04/2024</t>
  </si>
  <si>
    <t>17/04/2024</t>
  </si>
  <si>
    <t>18/04/2024</t>
  </si>
  <si>
    <t>19/04/2024</t>
  </si>
  <si>
    <t>22/04/2024</t>
  </si>
  <si>
    <t>23/04/2024</t>
  </si>
  <si>
    <t>24/04/2024</t>
  </si>
  <si>
    <t>Attended Workshop day 1 @HN</t>
  </si>
  <si>
    <t>Attended Workshop day 2 @HN</t>
  </si>
  <si>
    <t>Attended Workshop day 3 @HN</t>
  </si>
  <si>
    <t>Report of attended workshop in Germany mobility</t>
  </si>
  <si>
    <t>Developing FMS</t>
  </si>
  <si>
    <t>Collection of Financial Documents and Check Ups</t>
  </si>
  <si>
    <t>21/8/2024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</si>
</sst>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2" x14ac:knownFonts="1">
    <font>
      <sz val="11"/>
      <color theme="1"/>
      <name val="Calibri"/>
      <scheme val="minor"/>
    </font>
    <font>
      <sz val="11"/>
      <color theme="1"/>
      <name val="Calibri"/>
      <family val="2"/>
      <scheme val="minor"/>
    </font>
    <font>
      <b/>
      <sz val="20"/>
      <color rgb="FF0070C0"/>
      <name val="Calibri"/>
      <family val="2"/>
    </font>
    <font>
      <b/>
      <sz val="11"/>
      <color theme="1"/>
      <name val="Calibri"/>
      <family val="2"/>
    </font>
    <font>
      <sz val="11"/>
      <color theme="1"/>
      <name val="Calibri"/>
      <family val="2"/>
    </font>
    <font>
      <sz val="11"/>
      <name val="Calibri"/>
      <family val="2"/>
    </font>
    <font>
      <b/>
      <sz val="10"/>
      <color theme="1"/>
      <name val="Calibri"/>
      <family val="2"/>
    </font>
    <font>
      <sz val="11"/>
      <color theme="1"/>
      <name val="Calibri"/>
      <family val="2"/>
      <scheme val="minor"/>
    </font>
    <font>
      <sz val="10"/>
      <color theme="1"/>
      <name val="Calibri"/>
      <family val="2"/>
    </font>
    <font>
      <sz val="10"/>
      <color rgb="FF000000"/>
      <name val="Calibri"/>
      <family val="2"/>
    </font>
    <font>
      <b/>
      <sz val="11"/>
      <color theme="0"/>
      <name val="Calibri"/>
      <family val="2"/>
    </font>
    <font>
      <sz val="8"/>
      <name val="Calibri"/>
      <family val="2"/>
      <scheme val="minor"/>
    </font>
  </fonts>
  <fills count="9">
    <fill>
      <patternFill patternType="none"/>
    </fill>
    <fill>
      <patternFill patternType="gray125"/>
    </fill>
    <fill>
      <patternFill patternType="solid">
        <fgColor rgb="FF92CDDC"/>
        <bgColor rgb="FF92CDDC"/>
      </patternFill>
    </fill>
    <fill>
      <patternFill patternType="solid">
        <fgColor rgb="FFDAEEF3"/>
        <bgColor rgb="FFDAEEF3"/>
      </patternFill>
    </fill>
    <fill>
      <patternFill patternType="solid">
        <fgColor rgb="FFD0E0E3"/>
        <bgColor rgb="FFD0E0E3"/>
      </patternFill>
    </fill>
    <fill>
      <patternFill patternType="solid">
        <fgColor rgb="FF00B0F0"/>
        <bgColor rgb="FF00B0F0"/>
      </patternFill>
    </fill>
    <fill>
      <patternFill patternType="solid">
        <fgColor rgb="FF6D9EEB"/>
        <bgColor rgb="FF6D9EEB"/>
      </patternFill>
    </fill>
    <fill>
      <patternFill patternType="solid">
        <fgColor rgb="FFDBE5F1"/>
        <bgColor rgb="FFDBE5F1"/>
      </patternFill>
    </fill>
    <fill>
      <patternFill patternType="solid">
        <fgColor rgb="FFB8CCE4"/>
        <bgColor rgb="FFB8CCE4"/>
      </patternFill>
    </fill>
  </fills>
  <borders count="49">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94">
    <xf numFmtId="0" fontId="0" fillId="0" borderId="0" xfId="0"/>
    <xf numFmtId="0" fontId="2" fillId="0" borderId="0" xfId="0" applyFont="1" applyAlignment="1">
      <alignment horizontal="center"/>
    </xf>
    <xf numFmtId="0" fontId="2" fillId="0" borderId="0" xfId="0" applyFont="1"/>
    <xf numFmtId="0" fontId="4" fillId="0" borderId="0" xfId="0" applyFont="1" applyAlignment="1">
      <alignment horizontal="left" vertical="center" wrapText="1"/>
    </xf>
    <xf numFmtId="0" fontId="4" fillId="0" borderId="0" xfId="0" applyFont="1" applyAlignment="1">
      <alignment vertical="center" wrapText="1"/>
    </xf>
    <xf numFmtId="0" fontId="4" fillId="0" borderId="0" xfId="0" applyFont="1" applyAlignment="1">
      <alignment horizontal="center" vertical="center" wrapText="1"/>
    </xf>
    <xf numFmtId="0" fontId="6" fillId="2" borderId="4" xfId="0" applyFont="1" applyFill="1" applyBorder="1" applyAlignment="1">
      <alignment wrapText="1"/>
    </xf>
    <xf numFmtId="0" fontId="6" fillId="2" borderId="8" xfId="0" applyFont="1" applyFill="1" applyBorder="1" applyAlignment="1">
      <alignment wrapText="1"/>
    </xf>
    <xf numFmtId="0" fontId="6" fillId="2" borderId="9" xfId="0" applyFont="1" applyFill="1" applyBorder="1" applyAlignment="1">
      <alignment wrapText="1"/>
    </xf>
    <xf numFmtId="0" fontId="6" fillId="2" borderId="10" xfId="0" applyFont="1" applyFill="1" applyBorder="1" applyAlignment="1">
      <alignment wrapText="1"/>
    </xf>
    <xf numFmtId="0" fontId="4" fillId="0" borderId="11" xfId="0" applyFont="1" applyBorder="1"/>
    <xf numFmtId="0" fontId="3" fillId="3" borderId="12" xfId="0" applyFont="1" applyFill="1" applyBorder="1" applyAlignment="1">
      <alignment horizontal="center" vertical="center"/>
    </xf>
    <xf numFmtId="0" fontId="4" fillId="0" borderId="13" xfId="0" applyFont="1" applyBorder="1"/>
    <xf numFmtId="0" fontId="4" fillId="0" borderId="14" xfId="0" applyFont="1" applyBorder="1"/>
    <xf numFmtId="0" fontId="7" fillId="0" borderId="14" xfId="0" applyFont="1" applyBorder="1"/>
    <xf numFmtId="0" fontId="6" fillId="2" borderId="13" xfId="0" applyFont="1" applyFill="1" applyBorder="1" applyAlignment="1">
      <alignment wrapText="1"/>
    </xf>
    <xf numFmtId="0" fontId="4" fillId="0" borderId="14" xfId="0" applyFont="1" applyBorder="1" applyAlignment="1">
      <alignment horizontal="center" vertical="center"/>
    </xf>
    <xf numFmtId="0" fontId="6" fillId="2" borderId="15" xfId="0" applyFont="1" applyFill="1" applyBorder="1" applyAlignment="1">
      <alignment wrapText="1"/>
    </xf>
    <xf numFmtId="0" fontId="4" fillId="0" borderId="16" xfId="0" applyFont="1" applyBorder="1" applyAlignment="1">
      <alignment horizontal="center" vertical="center"/>
    </xf>
    <xf numFmtId="0" fontId="6" fillId="4" borderId="17" xfId="0" applyFont="1" applyFill="1" applyBorder="1" applyAlignment="1">
      <alignment wrapText="1"/>
    </xf>
    <xf numFmtId="0" fontId="4" fillId="0" borderId="18" xfId="0" applyFont="1" applyBorder="1" applyAlignment="1">
      <alignment horizontal="center" vertical="center"/>
    </xf>
    <xf numFmtId="0" fontId="6" fillId="4" borderId="19" xfId="0" applyFont="1" applyFill="1" applyBorder="1" applyAlignment="1">
      <alignment wrapText="1"/>
    </xf>
    <xf numFmtId="0" fontId="4" fillId="0" borderId="20" xfId="0" applyFont="1" applyBorder="1" applyAlignment="1">
      <alignment horizontal="center" vertical="center"/>
    </xf>
    <xf numFmtId="0" fontId="4" fillId="0" borderId="0" xfId="0" applyFont="1" applyAlignment="1">
      <alignment horizontal="center"/>
    </xf>
    <xf numFmtId="0" fontId="3" fillId="0" borderId="0" xfId="0" applyFont="1"/>
    <xf numFmtId="0" fontId="3" fillId="2" borderId="21" xfId="0" applyFont="1" applyFill="1" applyBorder="1"/>
    <xf numFmtId="0" fontId="3" fillId="2" borderId="22" xfId="0" applyFont="1" applyFill="1" applyBorder="1"/>
    <xf numFmtId="0" fontId="3" fillId="2" borderId="13" xfId="0" applyFont="1" applyFill="1" applyBorder="1"/>
    <xf numFmtId="0" fontId="3" fillId="2" borderId="23" xfId="0" applyFont="1" applyFill="1" applyBorder="1"/>
    <xf numFmtId="0" fontId="4" fillId="3" borderId="13" xfId="0" applyFont="1" applyFill="1" applyBorder="1"/>
    <xf numFmtId="0" fontId="4" fillId="0" borderId="23" xfId="0" applyFont="1" applyBorder="1" applyAlignment="1">
      <alignment horizontal="center" vertical="center"/>
    </xf>
    <xf numFmtId="0" fontId="4" fillId="0" borderId="0" xfId="0" applyFont="1" applyAlignment="1">
      <alignment wrapText="1"/>
    </xf>
    <xf numFmtId="0" fontId="3" fillId="3" borderId="17" xfId="0" applyFont="1" applyFill="1" applyBorder="1" applyAlignment="1">
      <alignment horizontal="center" vertical="center" wrapText="1"/>
    </xf>
    <xf numFmtId="0" fontId="4" fillId="0" borderId="31" xfId="0" applyFont="1" applyBorder="1"/>
    <xf numFmtId="164" fontId="3" fillId="2" borderId="38" xfId="0" applyNumberFormat="1" applyFont="1" applyFill="1" applyBorder="1" applyAlignment="1">
      <alignment horizontal="center"/>
    </xf>
    <xf numFmtId="0" fontId="3" fillId="0" borderId="32" xfId="0" applyFont="1" applyBorder="1" applyAlignment="1">
      <alignment horizontal="center"/>
    </xf>
    <xf numFmtId="164" fontId="3" fillId="2" borderId="39" xfId="0" applyNumberFormat="1" applyFont="1" applyFill="1" applyBorder="1" applyAlignment="1">
      <alignment horizontal="center"/>
    </xf>
    <xf numFmtId="0" fontId="3" fillId="3" borderId="17" xfId="0" applyFont="1" applyFill="1" applyBorder="1" applyAlignment="1">
      <alignment horizontal="right" vertical="center"/>
    </xf>
    <xf numFmtId="0" fontId="7" fillId="0" borderId="0" xfId="0" applyFont="1"/>
    <xf numFmtId="0" fontId="4" fillId="0" borderId="32" xfId="0" applyFont="1" applyBorder="1"/>
    <xf numFmtId="0" fontId="3" fillId="3" borderId="40" xfId="0" applyFont="1" applyFill="1" applyBorder="1" applyAlignment="1">
      <alignment horizontal="center" vertical="center" wrapText="1"/>
    </xf>
    <xf numFmtId="0" fontId="3" fillId="3" borderId="41" xfId="0" applyFont="1" applyFill="1" applyBorder="1" applyAlignment="1">
      <alignment horizontal="center" vertical="center" wrapText="1"/>
    </xf>
    <xf numFmtId="0" fontId="3" fillId="2" borderId="39" xfId="0" applyFont="1" applyFill="1" applyBorder="1" applyAlignment="1">
      <alignment horizontal="center"/>
    </xf>
    <xf numFmtId="0" fontId="10" fillId="5" borderId="14" xfId="0" applyFont="1" applyFill="1" applyBorder="1"/>
    <xf numFmtId="2" fontId="4" fillId="0" borderId="14" xfId="0" applyNumberFormat="1" applyFont="1" applyBorder="1" applyAlignment="1">
      <alignment horizontal="center" vertical="center"/>
    </xf>
    <xf numFmtId="0" fontId="7" fillId="6" borderId="0" xfId="0" applyFont="1" applyFill="1"/>
    <xf numFmtId="0" fontId="7" fillId="7" borderId="0" xfId="0" applyFont="1" applyFill="1"/>
    <xf numFmtId="0" fontId="7" fillId="8" borderId="0" xfId="0" applyFont="1" applyFill="1"/>
    <xf numFmtId="0" fontId="3" fillId="0" borderId="0" xfId="0" applyFont="1" applyAlignment="1">
      <alignment horizontal="left" vertical="center" wrapText="1"/>
    </xf>
    <xf numFmtId="0" fontId="0" fillId="0" borderId="0" xfId="0"/>
    <xf numFmtId="0" fontId="4" fillId="0" borderId="0" xfId="0" applyFont="1" applyAlignment="1">
      <alignment horizontal="left" vertical="center" wrapText="1"/>
    </xf>
    <xf numFmtId="0" fontId="2" fillId="0" borderId="0" xfId="0" applyFont="1" applyAlignment="1">
      <alignment horizontal="center"/>
    </xf>
    <xf numFmtId="0" fontId="3" fillId="0" borderId="0" xfId="0" applyFont="1" applyAlignment="1">
      <alignment horizontal="left" vertical="center"/>
    </xf>
    <xf numFmtId="0" fontId="2" fillId="0" borderId="1" xfId="0" applyFont="1" applyBorder="1" applyAlignment="1">
      <alignment horizontal="center"/>
    </xf>
    <xf numFmtId="0" fontId="5" fillId="0" borderId="2" xfId="0" applyFont="1" applyBorder="1"/>
    <xf numFmtId="0" fontId="5" fillId="0" borderId="3" xfId="0" applyFont="1" applyBorder="1"/>
    <xf numFmtId="0" fontId="6" fillId="0" borderId="5" xfId="0" applyFont="1" applyBorder="1" applyAlignment="1">
      <alignment horizontal="center"/>
    </xf>
    <xf numFmtId="0" fontId="5" fillId="0" borderId="6" xfId="0" applyFont="1" applyBorder="1"/>
    <xf numFmtId="0" fontId="5" fillId="0" borderId="7" xfId="0" applyFont="1" applyBorder="1"/>
    <xf numFmtId="0" fontId="4" fillId="0" borderId="0" xfId="0" applyFont="1" applyAlignment="1">
      <alignment horizontal="center"/>
    </xf>
    <xf numFmtId="0" fontId="4" fillId="0" borderId="5" xfId="0" applyFont="1" applyBorder="1" applyAlignment="1">
      <alignment horizontal="center"/>
    </xf>
    <xf numFmtId="0" fontId="4" fillId="0" borderId="0" xfId="0" applyFont="1" applyAlignment="1">
      <alignment horizontal="center" vertical="center"/>
    </xf>
    <xf numFmtId="0" fontId="3" fillId="3" borderId="1" xfId="0" applyFont="1" applyFill="1" applyBorder="1" applyAlignment="1">
      <alignment horizontal="center" vertical="center"/>
    </xf>
    <xf numFmtId="0" fontId="4" fillId="0" borderId="31" xfId="0" applyFont="1" applyBorder="1" applyAlignment="1">
      <alignment horizontal="center"/>
    </xf>
    <xf numFmtId="0" fontId="5" fillId="0" borderId="32" xfId="0" applyFont="1" applyBorder="1"/>
    <xf numFmtId="0" fontId="5" fillId="0" borderId="30" xfId="0" applyFont="1" applyBorder="1"/>
    <xf numFmtId="0" fontId="8" fillId="0" borderId="37" xfId="0" applyFont="1" applyBorder="1" applyAlignment="1">
      <alignment horizontal="center"/>
    </xf>
    <xf numFmtId="0" fontId="5" fillId="0" borderId="37" xfId="0" applyFont="1" applyBorder="1"/>
    <xf numFmtId="0" fontId="5" fillId="0" borderId="36" xfId="0" applyFont="1" applyBorder="1"/>
    <xf numFmtId="0" fontId="6" fillId="2" borderId="24" xfId="0" applyFont="1" applyFill="1" applyBorder="1" applyAlignment="1">
      <alignment horizontal="center" vertical="center" wrapText="1"/>
    </xf>
    <xf numFmtId="0" fontId="5" fillId="0" borderId="25" xfId="0" applyFont="1" applyBorder="1"/>
    <xf numFmtId="0" fontId="5" fillId="0" borderId="29" xfId="0" applyFont="1" applyBorder="1"/>
    <xf numFmtId="0" fontId="8" fillId="0" borderId="6" xfId="0" applyFont="1" applyBorder="1" applyAlignment="1">
      <alignment horizontal="center"/>
    </xf>
    <xf numFmtId="0" fontId="5" fillId="0" borderId="34" xfId="0" applyFont="1" applyBorder="1"/>
    <xf numFmtId="0" fontId="6" fillId="2" borderId="33" xfId="0" applyFont="1" applyFill="1" applyBorder="1" applyAlignment="1">
      <alignment horizontal="center" vertical="center" wrapText="1"/>
    </xf>
    <xf numFmtId="0" fontId="6" fillId="2" borderId="35" xfId="0" applyFont="1" applyFill="1" applyBorder="1" applyAlignment="1">
      <alignment horizontal="center" vertical="center" wrapText="1"/>
    </xf>
    <xf numFmtId="0" fontId="4" fillId="0" borderId="26" xfId="0" applyFont="1" applyBorder="1" applyAlignment="1">
      <alignment horizontal="center" wrapText="1"/>
    </xf>
    <xf numFmtId="0" fontId="5" fillId="0" borderId="27" xfId="0" applyFont="1" applyBorder="1"/>
    <xf numFmtId="0" fontId="5" fillId="0" borderId="28" xfId="0" applyFont="1" applyBorder="1"/>
    <xf numFmtId="0" fontId="5" fillId="0" borderId="31" xfId="0" applyFont="1" applyBorder="1"/>
    <xf numFmtId="0" fontId="4" fillId="0" borderId="6" xfId="0" applyFont="1" applyBorder="1" applyAlignment="1">
      <alignment horizontal="center" wrapText="1"/>
    </xf>
    <xf numFmtId="0" fontId="4" fillId="0" borderId="5" xfId="0" applyFont="1" applyBorder="1" applyAlignment="1">
      <alignment horizontal="center" wrapText="1"/>
    </xf>
    <xf numFmtId="0" fontId="8" fillId="0" borderId="33" xfId="0" applyFont="1" applyBorder="1" applyAlignment="1">
      <alignment horizontal="center" wrapText="1"/>
    </xf>
    <xf numFmtId="0" fontId="9" fillId="0" borderId="6" xfId="0" applyFont="1" applyBorder="1" applyAlignment="1">
      <alignment horizontal="center"/>
    </xf>
    <xf numFmtId="0" fontId="4" fillId="0" borderId="42" xfId="0" applyFont="1" applyBorder="1" applyAlignment="1">
      <alignment horizontal="center"/>
    </xf>
    <xf numFmtId="0" fontId="5" fillId="0" borderId="43" xfId="0" applyFont="1" applyBorder="1"/>
    <xf numFmtId="0" fontId="5" fillId="0" borderId="18" xfId="0" applyFont="1" applyBorder="1"/>
    <xf numFmtId="0" fontId="3" fillId="3" borderId="44" xfId="0" applyFont="1" applyFill="1" applyBorder="1" applyAlignment="1">
      <alignment horizontal="center" vertical="center" wrapText="1"/>
    </xf>
    <xf numFmtId="0" fontId="5" fillId="0" borderId="45" xfId="0" applyFont="1" applyBorder="1"/>
    <xf numFmtId="0" fontId="4" fillId="0" borderId="6" xfId="0" applyFont="1" applyBorder="1" applyAlignment="1">
      <alignment horizontal="center"/>
    </xf>
    <xf numFmtId="0" fontId="4" fillId="0" borderId="7" xfId="0" applyFont="1" applyBorder="1" applyAlignment="1">
      <alignment horizontal="center"/>
    </xf>
    <xf numFmtId="0" fontId="1" fillId="0" borderId="46" xfId="1" applyFont="1" applyBorder="1" applyAlignment="1">
      <alignment horizontal="center"/>
    </xf>
    <xf numFmtId="0" fontId="1" fillId="0" borderId="47" xfId="1" applyBorder="1" applyAlignment="1">
      <alignment horizontal="center"/>
    </xf>
    <xf numFmtId="0" fontId="1" fillId="0" borderId="48" xfId="1" applyBorder="1" applyAlignment="1">
      <alignment horizontal="center"/>
    </xf>
  </cellXfs>
  <cellStyles count="2">
    <cellStyle name="Normal" xfId="0" builtinId="0"/>
    <cellStyle name="Normal 2" xfId="1" xr:uid="{BBDF2073-9B66-4E5B-9AFB-849F8ECD4AB1}"/>
  </cellStyles>
  <dxfs count="15">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5">
    <tableStyle name="Drop-down lists-style" pivot="0" count="3" xr9:uid="{00000000-0011-0000-FFFF-FFFF00000000}">
      <tableStyleElement type="headerRow" dxfId="14"/>
      <tableStyleElement type="firstRowStripe" dxfId="13"/>
      <tableStyleElement type="secondRowStripe" dxfId="12"/>
    </tableStyle>
    <tableStyle name="Drop-down lists-style 2" pivot="0" count="3" xr9:uid="{00000000-0011-0000-FFFF-FFFF01000000}">
      <tableStyleElement type="headerRow" dxfId="11"/>
      <tableStyleElement type="firstRowStripe" dxfId="10"/>
      <tableStyleElement type="secondRowStripe" dxfId="9"/>
    </tableStyle>
    <tableStyle name="Drop-down lists-style 3" pivot="0" count="3" xr9:uid="{00000000-0011-0000-FFFF-FFFF02000000}">
      <tableStyleElement type="headerRow" dxfId="8"/>
      <tableStyleElement type="firstRowStripe" dxfId="7"/>
      <tableStyleElement type="secondRowStripe" dxfId="6"/>
    </tableStyle>
    <tableStyle name="Drop-down lists-style 4" pivot="0" count="3" xr9:uid="{00000000-0011-0000-FFFF-FFFF03000000}">
      <tableStyleElement type="headerRow" dxfId="5"/>
      <tableStyleElement type="firstRowStripe" dxfId="4"/>
      <tableStyleElement type="secondRowStripe" dxfId="3"/>
    </tableStyle>
    <tableStyle name="Drop-down lists-style 5" pivot="0" count="3" xr9:uid="{00000000-0011-0000-FFFF-FFFF04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6</xdr:col>
      <xdr:colOff>104775</xdr:colOff>
      <xdr:row>0</xdr:row>
      <xdr:rowOff>171450</xdr:rowOff>
    </xdr:from>
    <xdr:ext cx="1495425" cy="4191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314325</xdr:colOff>
      <xdr:row>0</xdr:row>
      <xdr:rowOff>133350</xdr:rowOff>
    </xdr:from>
    <xdr:ext cx="857250" cy="495300"/>
    <xdr:pic>
      <xdr:nvPicPr>
        <xdr:cNvPr id="3" name="image2.png" title="Immagin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676275</xdr:colOff>
      <xdr:row>0</xdr:row>
      <xdr:rowOff>0</xdr:rowOff>
    </xdr:from>
    <xdr:ext cx="1390650" cy="41910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419100</xdr:colOff>
      <xdr:row>0</xdr:row>
      <xdr:rowOff>0</xdr:rowOff>
    </xdr:from>
    <xdr:ext cx="857250" cy="495300"/>
    <xdr:pic>
      <xdr:nvPicPr>
        <xdr:cNvPr id="3" name="image2.png" title="Immagin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1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1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1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dr:oneCellAnchor>
    <xdr:from>
      <xdr:col>11</xdr:col>
      <xdr:colOff>161925</xdr:colOff>
      <xdr:row>0</xdr:row>
      <xdr:rowOff>0</xdr:rowOff>
    </xdr:from>
    <xdr:ext cx="3381375" cy="933450"/>
    <xdr:pic>
      <xdr:nvPicPr>
        <xdr:cNvPr id="2" name="image3.jpg">
          <a:extLst>
            <a:ext uri="{FF2B5EF4-FFF2-40B4-BE49-F238E27FC236}">
              <a16:creationId xmlns:a16="http://schemas.microsoft.com/office/drawing/2014/main" id="{00000000-0008-0000-1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1038225</xdr:colOff>
      <xdr:row>5</xdr:row>
      <xdr:rowOff>114300</xdr:rowOff>
    </xdr:from>
    <xdr:ext cx="1438275" cy="838200"/>
    <xdr:pic>
      <xdr:nvPicPr>
        <xdr:cNvPr id="3" name="image2.png" title="Immagine">
          <a:extLst>
            <a:ext uri="{FF2B5EF4-FFF2-40B4-BE49-F238E27FC236}">
              <a16:creationId xmlns:a16="http://schemas.microsoft.com/office/drawing/2014/main" id="{00000000-0008-0000-1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F1:F33">
  <tableColumns count="1">
    <tableColumn id="1" xr3:uid="{00000000-0010-0000-0000-000001000000}" name="Days"/>
  </tableColumns>
  <tableStyleInfo name="Drop-down list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D6:D17">
  <tableColumns count="1">
    <tableColumn id="1" xr3:uid="{00000000-0010-0000-0100-000001000000}" name="Work Package"/>
  </tableColumns>
  <tableStyleInfo name="Drop-down list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H6:H19">
  <tableColumns count="1">
    <tableColumn id="1" xr3:uid="{00000000-0010-0000-0200-000001000000}" name="Months"/>
  </tableColumns>
  <tableStyleInfo name="Drop-down list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J6:J12">
  <tableColumns count="1">
    <tableColumn id="1" xr3:uid="{00000000-0010-0000-0300-000001000000}" name="Year"/>
  </tableColumns>
  <tableStyleInfo name="Drop-down list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L6:L12">
  <tableColumns count="1">
    <tableColumn id="1" xr3:uid="{00000000-0010-0000-0400-000001000000}" name="Category of staff"/>
  </tableColumns>
  <tableStyleInfo name="Drop-down lists-style 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workbookViewId="0"/>
  </sheetViews>
  <sheetFormatPr defaultColWidth="14.42578125" defaultRowHeight="15" customHeight="1" x14ac:dyDescent="0.25"/>
  <cols>
    <col min="1" max="26" width="8.85546875" customWidth="1"/>
  </cols>
  <sheetData>
    <row r="1" spans="1:12" ht="14.25" customHeight="1" x14ac:dyDescent="0.25"/>
    <row r="2" spans="1:12" ht="14.25" customHeight="1" x14ac:dyDescent="0.25"/>
    <row r="3" spans="1:12" ht="14.25" customHeight="1" x14ac:dyDescent="0.25"/>
    <row r="4" spans="1:12" ht="14.25" customHeight="1" x14ac:dyDescent="0.25"/>
    <row r="5" spans="1:12" ht="14.25" customHeight="1" x14ac:dyDescent="0.4">
      <c r="B5" s="51" t="s">
        <v>0</v>
      </c>
      <c r="C5" s="49"/>
      <c r="D5" s="49"/>
      <c r="E5" s="49"/>
      <c r="F5" s="49"/>
      <c r="G5" s="49"/>
      <c r="H5" s="49"/>
      <c r="I5" s="49"/>
      <c r="J5" s="2"/>
      <c r="K5" s="2"/>
    </row>
    <row r="6" spans="1:12" ht="15" customHeight="1" x14ac:dyDescent="0.4">
      <c r="B6" s="1"/>
      <c r="C6" s="1"/>
      <c r="D6" s="1"/>
      <c r="E6" s="1"/>
      <c r="F6" s="1"/>
      <c r="G6" s="1"/>
      <c r="H6" s="1"/>
      <c r="I6" s="1"/>
      <c r="J6" s="2"/>
      <c r="K6" s="2"/>
    </row>
    <row r="9" spans="1:12" ht="14.25" customHeight="1" x14ac:dyDescent="0.25"/>
    <row r="10" spans="1:12" ht="14.25" customHeight="1" x14ac:dyDescent="0.25">
      <c r="A10" s="52" t="s">
        <v>1</v>
      </c>
      <c r="B10" s="49"/>
      <c r="C10" s="49"/>
      <c r="D10" s="49"/>
      <c r="E10" s="49"/>
    </row>
    <row r="11" spans="1:12" ht="15" customHeight="1" x14ac:dyDescent="0.25">
      <c r="A11" s="50" t="s">
        <v>2</v>
      </c>
      <c r="B11" s="49"/>
      <c r="C11" s="49"/>
      <c r="D11" s="49"/>
      <c r="E11" s="49"/>
      <c r="F11" s="49"/>
      <c r="G11" s="49"/>
      <c r="H11" s="49"/>
      <c r="I11" s="49"/>
      <c r="J11" s="49"/>
      <c r="K11" s="4"/>
      <c r="L11" s="4"/>
    </row>
    <row r="12" spans="1:12" ht="14.25" customHeight="1" x14ac:dyDescent="0.25">
      <c r="A12" s="49"/>
      <c r="B12" s="49"/>
      <c r="C12" s="49"/>
      <c r="D12" s="49"/>
      <c r="E12" s="49"/>
      <c r="F12" s="49"/>
      <c r="G12" s="49"/>
      <c r="H12" s="49"/>
      <c r="I12" s="49"/>
      <c r="J12" s="49"/>
      <c r="K12" s="4"/>
      <c r="L12" s="4"/>
    </row>
    <row r="13" spans="1:12" ht="14.25" customHeight="1" x14ac:dyDescent="0.25">
      <c r="A13" s="49"/>
      <c r="B13" s="49"/>
      <c r="C13" s="49"/>
      <c r="D13" s="49"/>
      <c r="E13" s="49"/>
      <c r="F13" s="49"/>
      <c r="G13" s="49"/>
      <c r="H13" s="49"/>
      <c r="I13" s="49"/>
      <c r="J13" s="49"/>
      <c r="K13" s="4"/>
      <c r="L13" s="3"/>
    </row>
    <row r="14" spans="1:12" ht="14.25" customHeight="1" x14ac:dyDescent="0.25">
      <c r="A14" s="49"/>
      <c r="B14" s="49"/>
      <c r="C14" s="49"/>
      <c r="D14" s="49"/>
      <c r="E14" s="49"/>
      <c r="F14" s="49"/>
      <c r="G14" s="49"/>
      <c r="H14" s="49"/>
      <c r="I14" s="49"/>
      <c r="J14" s="49"/>
      <c r="K14" s="5"/>
      <c r="L14" s="3"/>
    </row>
    <row r="15" spans="1:12" ht="14.25" customHeight="1" x14ac:dyDescent="0.25"/>
    <row r="16" spans="1:12" ht="15" customHeight="1" x14ac:dyDescent="0.25">
      <c r="A16" s="48" t="s">
        <v>3</v>
      </c>
      <c r="B16" s="49"/>
      <c r="C16" s="49"/>
      <c r="D16" s="49"/>
      <c r="E16" s="49"/>
    </row>
    <row r="17" spans="1:12" ht="15" customHeight="1" x14ac:dyDescent="0.25">
      <c r="A17" s="50" t="s">
        <v>4</v>
      </c>
      <c r="B17" s="49"/>
      <c r="C17" s="49"/>
      <c r="D17" s="49"/>
      <c r="E17" s="49"/>
      <c r="F17" s="49"/>
      <c r="G17" s="49"/>
      <c r="H17" s="49"/>
      <c r="I17" s="49"/>
      <c r="J17" s="49"/>
      <c r="K17" s="4"/>
      <c r="L17" s="4"/>
    </row>
    <row r="18" spans="1:12" ht="14.25" customHeight="1" x14ac:dyDescent="0.25">
      <c r="A18" s="49"/>
      <c r="B18" s="49"/>
      <c r="C18" s="49"/>
      <c r="D18" s="49"/>
      <c r="E18" s="49"/>
      <c r="F18" s="49"/>
      <c r="G18" s="49"/>
      <c r="H18" s="49"/>
      <c r="I18" s="49"/>
      <c r="J18" s="49"/>
      <c r="K18" s="4"/>
      <c r="L18" s="4"/>
    </row>
    <row r="19" spans="1:12" ht="14.25" customHeight="1" x14ac:dyDescent="0.25">
      <c r="A19" s="49"/>
      <c r="B19" s="49"/>
      <c r="C19" s="49"/>
      <c r="D19" s="49"/>
      <c r="E19" s="49"/>
      <c r="F19" s="49"/>
      <c r="G19" s="49"/>
      <c r="H19" s="49"/>
      <c r="I19" s="49"/>
      <c r="J19" s="49"/>
      <c r="K19" s="3"/>
      <c r="L19" s="3"/>
    </row>
    <row r="20" spans="1:12" ht="14.25" customHeight="1" x14ac:dyDescent="0.25">
      <c r="A20" s="4"/>
      <c r="B20" s="4"/>
      <c r="C20" s="4"/>
      <c r="D20" s="4"/>
      <c r="E20" s="4"/>
      <c r="F20" s="4"/>
      <c r="G20" s="4"/>
      <c r="H20" s="4"/>
      <c r="I20" s="4"/>
      <c r="J20" s="4"/>
    </row>
    <row r="21" spans="1:12" ht="14.25" customHeight="1" x14ac:dyDescent="0.25">
      <c r="A21" s="48" t="s">
        <v>5</v>
      </c>
      <c r="B21" s="49"/>
      <c r="C21" s="49"/>
      <c r="D21" s="49"/>
      <c r="E21" s="49"/>
    </row>
    <row r="22" spans="1:12" ht="15" customHeight="1" x14ac:dyDescent="0.25">
      <c r="A22" s="50" t="s">
        <v>6</v>
      </c>
      <c r="B22" s="49"/>
      <c r="C22" s="49"/>
      <c r="D22" s="49"/>
      <c r="E22" s="49"/>
      <c r="F22" s="49"/>
      <c r="G22" s="49"/>
      <c r="H22" s="49"/>
      <c r="I22" s="49"/>
      <c r="J22" s="49"/>
      <c r="K22" s="4"/>
      <c r="L22" s="4"/>
    </row>
    <row r="23" spans="1:12" ht="14.25" customHeight="1" x14ac:dyDescent="0.25">
      <c r="A23" s="49"/>
      <c r="B23" s="49"/>
      <c r="C23" s="49"/>
      <c r="D23" s="49"/>
      <c r="E23" s="49"/>
      <c r="F23" s="49"/>
      <c r="G23" s="49"/>
      <c r="H23" s="49"/>
      <c r="I23" s="49"/>
      <c r="J23" s="49"/>
      <c r="K23" s="4"/>
      <c r="L23" s="4"/>
    </row>
    <row r="24" spans="1:12" ht="14.25" customHeight="1" x14ac:dyDescent="0.25">
      <c r="A24" s="49"/>
      <c r="B24" s="49"/>
      <c r="C24" s="49"/>
      <c r="D24" s="49"/>
      <c r="E24" s="49"/>
      <c r="F24" s="49"/>
      <c r="G24" s="49"/>
      <c r="H24" s="49"/>
      <c r="I24" s="49"/>
      <c r="J24" s="49"/>
      <c r="K24" s="4"/>
      <c r="L24" s="4"/>
    </row>
    <row r="25" spans="1:12" ht="14.25" customHeight="1" x14ac:dyDescent="0.25">
      <c r="A25" s="49"/>
      <c r="B25" s="49"/>
      <c r="C25" s="49"/>
      <c r="D25" s="49"/>
      <c r="E25" s="49"/>
      <c r="F25" s="49"/>
      <c r="G25" s="49"/>
      <c r="H25" s="49"/>
      <c r="I25" s="49"/>
      <c r="J25" s="49"/>
      <c r="K25" s="4"/>
      <c r="L25" s="4"/>
    </row>
    <row r="26" spans="1:12" ht="14.25" customHeight="1" x14ac:dyDescent="0.25">
      <c r="A26" s="4"/>
      <c r="B26" s="4"/>
      <c r="C26" s="4"/>
      <c r="D26" s="4"/>
      <c r="E26" s="4"/>
      <c r="F26" s="4"/>
      <c r="G26" s="4"/>
      <c r="H26" s="4"/>
      <c r="I26" s="4"/>
      <c r="J26" s="4"/>
    </row>
    <row r="27" spans="1:12" ht="14.25" customHeight="1" x14ac:dyDescent="0.25">
      <c r="A27" s="48" t="s">
        <v>7</v>
      </c>
      <c r="B27" s="49"/>
      <c r="C27" s="49"/>
      <c r="D27" s="49"/>
      <c r="E27" s="49"/>
    </row>
    <row r="28" spans="1:12" ht="15" customHeight="1" x14ac:dyDescent="0.25">
      <c r="A28" s="50" t="s">
        <v>8</v>
      </c>
      <c r="B28" s="49"/>
      <c r="C28" s="49"/>
      <c r="D28" s="49"/>
      <c r="E28" s="49"/>
      <c r="F28" s="49"/>
      <c r="G28" s="49"/>
      <c r="H28" s="49"/>
      <c r="I28" s="49"/>
      <c r="J28" s="49"/>
      <c r="K28" s="4"/>
      <c r="L28" s="4"/>
    </row>
    <row r="29" spans="1:12" ht="14.25" customHeight="1" x14ac:dyDescent="0.25">
      <c r="A29" s="49"/>
      <c r="B29" s="49"/>
      <c r="C29" s="49"/>
      <c r="D29" s="49"/>
      <c r="E29" s="49"/>
      <c r="F29" s="49"/>
      <c r="G29" s="49"/>
      <c r="H29" s="49"/>
      <c r="I29" s="49"/>
      <c r="J29" s="49"/>
      <c r="K29" s="4"/>
      <c r="L29" s="4"/>
    </row>
    <row r="30" spans="1:12" ht="14.25" customHeight="1" x14ac:dyDescent="0.25">
      <c r="A30" s="49"/>
      <c r="B30" s="49"/>
      <c r="C30" s="49"/>
      <c r="D30" s="49"/>
      <c r="E30" s="49"/>
      <c r="F30" s="49"/>
      <c r="G30" s="49"/>
      <c r="H30" s="49"/>
      <c r="I30" s="49"/>
      <c r="J30" s="49"/>
      <c r="K30" s="4"/>
      <c r="L30" s="4"/>
    </row>
    <row r="31" spans="1:12" ht="14.25" customHeight="1" x14ac:dyDescent="0.25">
      <c r="A31" s="49"/>
      <c r="B31" s="49"/>
      <c r="C31" s="49"/>
      <c r="D31" s="49"/>
      <c r="E31" s="49"/>
      <c r="F31" s="49"/>
      <c r="G31" s="49"/>
      <c r="H31" s="49"/>
      <c r="I31" s="49"/>
      <c r="J31" s="49"/>
      <c r="K31" s="4"/>
      <c r="L31" s="4"/>
    </row>
    <row r="32" spans="1:12" ht="14.25" customHeight="1" x14ac:dyDescent="0.25">
      <c r="A32" s="49"/>
      <c r="B32" s="49"/>
      <c r="C32" s="49"/>
      <c r="D32" s="49"/>
      <c r="E32" s="49"/>
      <c r="F32" s="49"/>
      <c r="G32" s="49"/>
      <c r="H32" s="49"/>
      <c r="I32" s="49"/>
      <c r="J32" s="49"/>
      <c r="K32" s="4"/>
      <c r="L32" s="4"/>
    </row>
    <row r="33" spans="1:12" ht="14.25" customHeight="1" x14ac:dyDescent="0.25">
      <c r="A33" s="49"/>
      <c r="B33" s="49"/>
      <c r="C33" s="49"/>
      <c r="D33" s="49"/>
      <c r="E33" s="49"/>
      <c r="F33" s="49"/>
      <c r="G33" s="49"/>
      <c r="H33" s="49"/>
      <c r="I33" s="49"/>
      <c r="J33" s="49"/>
      <c r="K33" s="4"/>
      <c r="L33" s="4"/>
    </row>
    <row r="34" spans="1:12" ht="14.25" customHeight="1" x14ac:dyDescent="0.25">
      <c r="A34" s="49"/>
      <c r="B34" s="49"/>
      <c r="C34" s="49"/>
      <c r="D34" s="49"/>
      <c r="E34" s="49"/>
      <c r="F34" s="49"/>
      <c r="G34" s="49"/>
      <c r="H34" s="49"/>
      <c r="I34" s="49"/>
      <c r="J34" s="49"/>
      <c r="K34" s="4"/>
      <c r="L34" s="4"/>
    </row>
    <row r="35" spans="1:12" ht="14.25" customHeight="1" x14ac:dyDescent="0.25">
      <c r="A35" s="49"/>
      <c r="B35" s="49"/>
      <c r="C35" s="49"/>
      <c r="D35" s="49"/>
      <c r="E35" s="49"/>
      <c r="F35" s="49"/>
      <c r="G35" s="49"/>
      <c r="H35" s="49"/>
      <c r="I35" s="49"/>
      <c r="J35" s="49"/>
      <c r="K35" s="4"/>
      <c r="L35" s="4"/>
    </row>
    <row r="36" spans="1:12" ht="14.25" customHeight="1" x14ac:dyDescent="0.25">
      <c r="A36" s="49"/>
      <c r="B36" s="49"/>
      <c r="C36" s="49"/>
      <c r="D36" s="49"/>
      <c r="E36" s="49"/>
      <c r="F36" s="49"/>
      <c r="G36" s="49"/>
      <c r="H36" s="49"/>
      <c r="I36" s="49"/>
      <c r="J36" s="49"/>
      <c r="K36" s="4"/>
      <c r="L36" s="4"/>
    </row>
    <row r="37" spans="1:12" ht="14.25" customHeight="1" x14ac:dyDescent="0.25">
      <c r="A37" s="49"/>
      <c r="B37" s="49"/>
      <c r="C37" s="49"/>
      <c r="D37" s="49"/>
      <c r="E37" s="49"/>
      <c r="F37" s="49"/>
      <c r="G37" s="49"/>
      <c r="H37" s="49"/>
      <c r="I37" s="49"/>
      <c r="J37" s="49"/>
      <c r="K37" s="4"/>
      <c r="L37" s="4"/>
    </row>
    <row r="38" spans="1:12" ht="14.25" customHeight="1" x14ac:dyDescent="0.25">
      <c r="A38" s="49"/>
      <c r="B38" s="49"/>
      <c r="C38" s="49"/>
      <c r="D38" s="49"/>
      <c r="E38" s="49"/>
      <c r="F38" s="49"/>
      <c r="G38" s="49"/>
      <c r="H38" s="49"/>
      <c r="I38" s="49"/>
      <c r="J38" s="49"/>
      <c r="K38" s="4"/>
      <c r="L38" s="4"/>
    </row>
    <row r="39" spans="1:12" ht="14.25" customHeight="1" x14ac:dyDescent="0.25">
      <c r="A39" s="49"/>
      <c r="B39" s="49"/>
      <c r="C39" s="49"/>
      <c r="D39" s="49"/>
      <c r="E39" s="49"/>
      <c r="F39" s="49"/>
      <c r="G39" s="49"/>
      <c r="H39" s="49"/>
      <c r="I39" s="49"/>
      <c r="J39" s="49"/>
      <c r="K39" s="4"/>
      <c r="L39" s="4"/>
    </row>
    <row r="40" spans="1:12" ht="14.25" customHeight="1" x14ac:dyDescent="0.25">
      <c r="A40" s="49"/>
      <c r="B40" s="49"/>
      <c r="C40" s="49"/>
      <c r="D40" s="49"/>
      <c r="E40" s="49"/>
      <c r="F40" s="49"/>
      <c r="G40" s="49"/>
      <c r="H40" s="49"/>
      <c r="I40" s="49"/>
      <c r="J40" s="49"/>
    </row>
    <row r="41" spans="1:12" ht="14.25" customHeight="1" x14ac:dyDescent="0.25">
      <c r="A41" s="49"/>
      <c r="B41" s="49"/>
      <c r="C41" s="49"/>
      <c r="D41" s="49"/>
      <c r="E41" s="49"/>
      <c r="F41" s="49"/>
      <c r="G41" s="49"/>
      <c r="H41" s="49"/>
      <c r="I41" s="49"/>
      <c r="J41" s="49"/>
    </row>
    <row r="42" spans="1:12" ht="14.25" customHeight="1" x14ac:dyDescent="0.25">
      <c r="A42" s="49"/>
      <c r="B42" s="49"/>
      <c r="C42" s="49"/>
      <c r="D42" s="49"/>
      <c r="E42" s="49"/>
      <c r="F42" s="49"/>
      <c r="G42" s="49"/>
      <c r="H42" s="49"/>
      <c r="I42" s="49"/>
      <c r="J42" s="49"/>
    </row>
    <row r="43" spans="1:12" ht="14.25" customHeight="1" x14ac:dyDescent="0.25">
      <c r="A43" s="49"/>
      <c r="B43" s="49"/>
      <c r="C43" s="49"/>
      <c r="D43" s="49"/>
      <c r="E43" s="49"/>
      <c r="F43" s="49"/>
      <c r="G43" s="49"/>
      <c r="H43" s="49"/>
      <c r="I43" s="49"/>
      <c r="J43" s="49"/>
    </row>
    <row r="44" spans="1:12" ht="14.25" customHeight="1" x14ac:dyDescent="0.25">
      <c r="A44" s="49"/>
      <c r="B44" s="49"/>
      <c r="C44" s="49"/>
      <c r="D44" s="49"/>
      <c r="E44" s="49"/>
      <c r="F44" s="49"/>
      <c r="G44" s="49"/>
      <c r="H44" s="49"/>
      <c r="I44" s="49"/>
      <c r="J44" s="49"/>
    </row>
    <row r="45" spans="1:12" ht="14.25" customHeight="1" x14ac:dyDescent="0.25">
      <c r="A45" s="5"/>
      <c r="B45" s="5"/>
      <c r="C45" s="5"/>
      <c r="D45" s="5"/>
      <c r="E45" s="5"/>
      <c r="F45" s="5"/>
      <c r="G45" s="5"/>
      <c r="H45" s="5"/>
      <c r="I45" s="5"/>
      <c r="J45" s="5"/>
    </row>
    <row r="46" spans="1:12" ht="14.25" customHeight="1" x14ac:dyDescent="0.25"/>
    <row r="47" spans="1:12" ht="15" customHeight="1" x14ac:dyDescent="0.25">
      <c r="K47" s="4"/>
      <c r="L47" s="4"/>
    </row>
    <row r="48" spans="1:12" ht="14.25" customHeight="1" x14ac:dyDescent="0.25">
      <c r="K48" s="4"/>
      <c r="L48" s="4"/>
    </row>
    <row r="49" spans="11:12" ht="14.25" customHeight="1" x14ac:dyDescent="0.25">
      <c r="K49" s="4"/>
      <c r="L49" s="4"/>
    </row>
    <row r="50" spans="11:12" ht="14.25" customHeight="1" x14ac:dyDescent="0.25">
      <c r="K50" s="4"/>
      <c r="L50" s="4"/>
    </row>
    <row r="51" spans="11:12" ht="14.25" customHeight="1" x14ac:dyDescent="0.25"/>
    <row r="52" spans="11:12" ht="14.25" customHeight="1" x14ac:dyDescent="0.25"/>
    <row r="53" spans="11:12" ht="14.25" customHeight="1" x14ac:dyDescent="0.25"/>
    <row r="54" spans="11:12" ht="14.25" customHeight="1" x14ac:dyDescent="0.25"/>
    <row r="55" spans="11:12" ht="14.25" customHeight="1" x14ac:dyDescent="0.25"/>
    <row r="56" spans="11:12" ht="14.25" customHeight="1" x14ac:dyDescent="0.25"/>
    <row r="57" spans="11:12" ht="14.25" customHeight="1" x14ac:dyDescent="0.25"/>
    <row r="58" spans="11:12" ht="14.25" customHeight="1" x14ac:dyDescent="0.25"/>
    <row r="59" spans="11:12" ht="14.25" customHeight="1" x14ac:dyDescent="0.25"/>
    <row r="60" spans="11:12" ht="14.25" customHeight="1" x14ac:dyDescent="0.25"/>
    <row r="61" spans="11:12" ht="14.25" customHeight="1" x14ac:dyDescent="0.25"/>
    <row r="62" spans="11:12" ht="14.25" customHeight="1" x14ac:dyDescent="0.25"/>
    <row r="63" spans="11:12" ht="14.25" customHeight="1" x14ac:dyDescent="0.25"/>
    <row r="64" spans="11:12"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9">
    <mergeCell ref="A27:E27"/>
    <mergeCell ref="A28:J44"/>
    <mergeCell ref="B5:I5"/>
    <mergeCell ref="A10:E10"/>
    <mergeCell ref="A11:J14"/>
    <mergeCell ref="A16:E16"/>
    <mergeCell ref="A17:J19"/>
    <mergeCell ref="A21:E21"/>
    <mergeCell ref="A22:J25"/>
  </mergeCells>
  <pageMargins left="0.7" right="0.7" top="0.75" bottom="0.75" header="0" footer="0"/>
  <pageSetup paperSize="9" scale="86"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6"/>
  <sheetViews>
    <sheetView workbookViewId="0">
      <selection activeCell="B13" sqref="B13:I13"/>
    </sheetView>
  </sheetViews>
  <sheetFormatPr defaultColWidth="14.42578125" defaultRowHeight="15" customHeight="1" x14ac:dyDescent="0.25"/>
  <cols>
    <col min="1" max="1" width="14.140625" customWidth="1"/>
    <col min="2" max="2" width="10" customWidth="1"/>
    <col min="3" max="3" width="8" customWidth="1"/>
    <col min="4" max="5" width="8.140625" customWidth="1"/>
    <col min="6" max="6" width="10" customWidth="1"/>
    <col min="7" max="26" width="8.85546875" customWidth="1"/>
  </cols>
  <sheetData>
    <row r="1" spans="1:9" ht="14.25" customHeight="1" x14ac:dyDescent="0.25"/>
    <row r="2" spans="1:9" ht="14.25" customHeight="1" x14ac:dyDescent="0.25"/>
    <row r="3" spans="1:9" ht="14.25" customHeight="1" x14ac:dyDescent="0.25"/>
    <row r="4" spans="1:9" ht="14.25" customHeight="1" x14ac:dyDescent="0.4">
      <c r="C4" s="53" t="s">
        <v>9</v>
      </c>
      <c r="D4" s="54"/>
      <c r="E4" s="54"/>
      <c r="F4" s="54"/>
      <c r="G4" s="54"/>
      <c r="H4" s="55"/>
    </row>
    <row r="5" spans="1:9" ht="14.25" customHeight="1" x14ac:dyDescent="0.25"/>
    <row r="6" spans="1:9" ht="14.25" customHeight="1" x14ac:dyDescent="0.25"/>
    <row r="7" spans="1:9" ht="14.25" customHeight="1" x14ac:dyDescent="0.25"/>
    <row r="8" spans="1:9" ht="14.25" customHeight="1" x14ac:dyDescent="0.25">
      <c r="A8" s="6" t="s">
        <v>10</v>
      </c>
      <c r="B8" s="56" t="s">
        <v>11</v>
      </c>
      <c r="C8" s="57"/>
      <c r="D8" s="57"/>
      <c r="E8" s="57"/>
      <c r="F8" s="57"/>
      <c r="G8" s="57"/>
      <c r="H8" s="57"/>
      <c r="I8" s="58"/>
    </row>
    <row r="9" spans="1:9" ht="14.25" customHeight="1" x14ac:dyDescent="0.25">
      <c r="A9" s="7" t="s">
        <v>12</v>
      </c>
      <c r="B9" s="56" t="s">
        <v>13</v>
      </c>
      <c r="C9" s="57"/>
      <c r="D9" s="57"/>
      <c r="E9" s="57"/>
      <c r="F9" s="57"/>
      <c r="G9" s="57"/>
      <c r="H9" s="57"/>
      <c r="I9" s="58"/>
    </row>
    <row r="10" spans="1:9" ht="14.25" customHeight="1" x14ac:dyDescent="0.25">
      <c r="A10" s="7"/>
      <c r="B10" s="56"/>
      <c r="C10" s="57"/>
      <c r="D10" s="57"/>
      <c r="E10" s="57"/>
      <c r="F10" s="57"/>
      <c r="G10" s="57"/>
      <c r="H10" s="57"/>
      <c r="I10" s="58"/>
    </row>
    <row r="11" spans="1:9" ht="14.25" customHeight="1" x14ac:dyDescent="0.25">
      <c r="A11" s="8" t="s">
        <v>14</v>
      </c>
      <c r="B11" s="56" t="s">
        <v>94</v>
      </c>
      <c r="C11" s="57"/>
      <c r="D11" s="57"/>
      <c r="E11" s="57"/>
      <c r="F11" s="57"/>
      <c r="G11" s="57"/>
      <c r="H11" s="57"/>
      <c r="I11" s="58"/>
    </row>
    <row r="12" spans="1:9" ht="14.25" customHeight="1" x14ac:dyDescent="0.25">
      <c r="A12" s="8" t="s">
        <v>15</v>
      </c>
      <c r="B12" s="56" t="s">
        <v>90</v>
      </c>
      <c r="C12" s="57"/>
      <c r="D12" s="57"/>
      <c r="E12" s="57"/>
      <c r="F12" s="57"/>
      <c r="G12" s="57"/>
      <c r="H12" s="57"/>
      <c r="I12" s="58"/>
    </row>
    <row r="13" spans="1:9" ht="14.25" customHeight="1" x14ac:dyDescent="0.25">
      <c r="A13" s="9" t="s">
        <v>17</v>
      </c>
      <c r="B13" s="56" t="s">
        <v>95</v>
      </c>
      <c r="C13" s="57"/>
      <c r="D13" s="57"/>
      <c r="E13" s="57"/>
      <c r="F13" s="57"/>
      <c r="G13" s="57"/>
      <c r="H13" s="57"/>
      <c r="I13" s="58"/>
    </row>
    <row r="14" spans="1:9" ht="14.25" customHeight="1" x14ac:dyDescent="0.25">
      <c r="A14" s="10"/>
      <c r="B14" s="11" t="s">
        <v>18</v>
      </c>
      <c r="C14" s="11" t="s">
        <v>19</v>
      </c>
      <c r="D14" s="11" t="s">
        <v>20</v>
      </c>
      <c r="E14" s="11" t="s">
        <v>21</v>
      </c>
      <c r="F14" s="11" t="s">
        <v>22</v>
      </c>
      <c r="G14" s="11" t="s">
        <v>23</v>
      </c>
      <c r="H14" s="11" t="s">
        <v>24</v>
      </c>
    </row>
    <row r="15" spans="1:9" ht="14.25" customHeight="1" x14ac:dyDescent="0.25">
      <c r="A15" s="12"/>
      <c r="B15" s="13"/>
      <c r="C15" s="13"/>
      <c r="D15" s="13"/>
      <c r="E15" s="13"/>
      <c r="F15" s="13"/>
      <c r="G15" s="14"/>
      <c r="H15" s="14"/>
    </row>
    <row r="16" spans="1:9" ht="14.25" customHeight="1" x14ac:dyDescent="0.25">
      <c r="A16" s="15" t="s">
        <v>25</v>
      </c>
      <c r="B16" s="16">
        <f>SUMIFS(January23!$K$4:$K$8,January23!$J$4:$J$8,Summary!B$14)</f>
        <v>0</v>
      </c>
      <c r="C16" s="16">
        <f>SUMIFS(January23!$K$4:$K$8,January23!$J$4:$J$8,Summary!C$14)</f>
        <v>0</v>
      </c>
      <c r="D16" s="16">
        <f>SUMIFS(January23!$K$4:$K$8,January23!$J$4:$J$8,Summary!D$14)</f>
        <v>0</v>
      </c>
      <c r="E16" s="16">
        <f>SUMIFS(January23!$K$4:$K$8,January23!$J$4:$J$8,Summary!E$14)</f>
        <v>0</v>
      </c>
      <c r="F16" s="16">
        <f>SUMIFS(January23!$K$4:$K$8,January23!$J$4:$J$8,Summary!F$14)</f>
        <v>5</v>
      </c>
      <c r="G16" s="16">
        <f>SUMIFS(January23!$K$4:$K$8,January23!$J$4:$J$8,Summary!G$14)</f>
        <v>0</v>
      </c>
      <c r="H16" s="16">
        <f>SUMIFS(January23!$K$4:$K$8,January23!$J$4:$J$8,Summary!H$14)</f>
        <v>0</v>
      </c>
    </row>
    <row r="17" spans="1:8" ht="14.25" customHeight="1" x14ac:dyDescent="0.25">
      <c r="A17" s="15" t="s">
        <v>26</v>
      </c>
      <c r="B17" s="16">
        <f>SUMIFS(February23!$K$4:$K$13,February23!$J$4:$J$13,Summary!B$14)</f>
        <v>0</v>
      </c>
      <c r="C17" s="16">
        <f>SUMIFS(February23!$K$4:$K$13,February23!$J$4:$J$13,Summary!C$14)</f>
        <v>0</v>
      </c>
      <c r="D17" s="16">
        <f>SUMIFS(February23!$K$4:$K$13,February23!$J$4:$J$13,Summary!D$14)</f>
        <v>0</v>
      </c>
      <c r="E17" s="16">
        <f>SUMIFS(February23!$K$4:$K$13,February23!$J$4:$J$13,Summary!E$14)</f>
        <v>0</v>
      </c>
      <c r="F17" s="16">
        <f>SUMIFS(February23!$K$4:$K$13,February23!$J$4:$J$13,Summary!F$14)</f>
        <v>0</v>
      </c>
      <c r="G17" s="16">
        <f>SUMIFS(February23!$K$4:$K$13,February23!$J$4:$J$13,Summary!G$14)</f>
        <v>0</v>
      </c>
      <c r="H17" s="16">
        <f>SUMIFS(February23!$K$4:$K$13,February23!$J$4:$J$13,Summary!H$14)</f>
        <v>0</v>
      </c>
    </row>
    <row r="18" spans="1:8" ht="14.25" customHeight="1" x14ac:dyDescent="0.25">
      <c r="A18" s="15" t="s">
        <v>27</v>
      </c>
      <c r="B18" s="16">
        <f>SUMIFS(March23!$K$4:$K$13,March23!$J$4:$J$13,Summary!B$14)</f>
        <v>0</v>
      </c>
      <c r="C18" s="16">
        <f>SUMIFS(March23!$K$4:$K$13,March23!$J$4:$J$13,Summary!C$14)</f>
        <v>0</v>
      </c>
      <c r="D18" s="16">
        <f>SUMIFS(March23!$K$4:$K$13,March23!$J$4:$J$13,Summary!D$14)</f>
        <v>0</v>
      </c>
      <c r="E18" s="16">
        <f>SUMIFS(March23!$K$4:$K$13,March23!$J$4:$J$13,Summary!E$14)</f>
        <v>0</v>
      </c>
      <c r="F18" s="16">
        <f>SUMIFS(March23!$K$4:$K$13,March23!$J$4:$J$13,Summary!F$14)</f>
        <v>0</v>
      </c>
      <c r="G18" s="16">
        <f>SUMIFS(March23!$K$4:$K$13,March23!$J$4:$J$13,Summary!G$14)</f>
        <v>0</v>
      </c>
      <c r="H18" s="16">
        <f>SUMIFS(March23!$K$4:$K$13,March23!$J$4:$J$13,Summary!H$14)</f>
        <v>0</v>
      </c>
    </row>
    <row r="19" spans="1:8" ht="14.25" customHeight="1" x14ac:dyDescent="0.25">
      <c r="A19" s="15" t="s">
        <v>28</v>
      </c>
      <c r="B19" s="16">
        <f>SUMIFS(April23!$K$4:$K$13,April23!$J$4:$J$13,Summary!B$14)</f>
        <v>0</v>
      </c>
      <c r="C19" s="16">
        <f>SUMIFS(April23!$K$4:$K$13,April23!$J$4:$J$13,Summary!C$14)</f>
        <v>0</v>
      </c>
      <c r="D19" s="16">
        <f>SUMIFS(April23!$K$4:$K$13,April23!$J$4:$J$13,Summary!D$14)</f>
        <v>0</v>
      </c>
      <c r="E19" s="16">
        <f>SUMIFS(April23!$K$4:$K$13,April23!$J$4:$J$13,Summary!E$14)</f>
        <v>0</v>
      </c>
      <c r="F19" s="16">
        <f>SUMIFS(April23!$K$4:$K$13,April23!$J$4:$J$13,Summary!F$14)</f>
        <v>0</v>
      </c>
      <c r="G19" s="16">
        <f>SUMIFS(April23!$K$4:$K$13,April23!$J$4:$J$13,Summary!G$14)</f>
        <v>0</v>
      </c>
      <c r="H19" s="16">
        <f>SUMIFS(April23!$K$4:$K$13,April23!$J$4:$J$13,Summary!H$14)</f>
        <v>0</v>
      </c>
    </row>
    <row r="20" spans="1:8" ht="14.25" customHeight="1" x14ac:dyDescent="0.25">
      <c r="A20" s="15" t="s">
        <v>29</v>
      </c>
      <c r="B20" s="16">
        <f>SUMIFS('May23'!$K$4:$K$13,'May23'!$J$4:$J$13,Summary!B$14)</f>
        <v>0</v>
      </c>
      <c r="C20" s="16">
        <f>SUMIFS('May23'!$K$4:$K$13,'May23'!$J$4:$J$13,Summary!C$14)</f>
        <v>0</v>
      </c>
      <c r="D20" s="16">
        <f>SUMIFS('May23'!$K$4:$K$13,'May23'!$J$4:$J$13,Summary!D$14)</f>
        <v>0</v>
      </c>
      <c r="E20" s="16">
        <f>SUMIFS('May23'!$K$4:$K$13,'May23'!$J$4:$J$13,Summary!E$14)</f>
        <v>0</v>
      </c>
      <c r="F20" s="16">
        <f>SUMIFS('May23'!$K$4:$K$13,'May23'!$J$4:$J$13,Summary!F$14)</f>
        <v>0</v>
      </c>
      <c r="G20" s="16">
        <f>SUMIFS('May23'!$K$4:$K$13,'May23'!$J$4:$J$13,Summary!G$14)</f>
        <v>0</v>
      </c>
      <c r="H20" s="16">
        <f>SUMIFS('May23'!$K$4:$K$13,'May23'!$J$4:$J$13,Summary!H$14)</f>
        <v>0</v>
      </c>
    </row>
    <row r="21" spans="1:8" ht="14.25" customHeight="1" x14ac:dyDescent="0.25">
      <c r="A21" s="15" t="s">
        <v>30</v>
      </c>
      <c r="B21" s="16">
        <f>SUMIFS(June23!$K$4:$K$13,June23!$J$4:$J$13,Summary!B$14)</f>
        <v>0</v>
      </c>
      <c r="C21" s="16">
        <f>SUMIFS(June23!$K$4:$K$13,June23!$J$4:$J$13,Summary!C$14)</f>
        <v>0</v>
      </c>
      <c r="D21" s="16">
        <f>SUMIFS(June23!$K$4:$K$13,June23!$J$4:$J$13,Summary!D$14)</f>
        <v>0</v>
      </c>
      <c r="E21" s="16">
        <f>SUMIFS(June23!$K$4:$K$13,June23!$J$4:$J$13,Summary!E$14)</f>
        <v>0</v>
      </c>
      <c r="F21" s="16">
        <f>SUMIFS(June23!$K$4:$K$13,June23!$J$4:$J$13,Summary!F$14)</f>
        <v>0</v>
      </c>
      <c r="G21" s="16">
        <f>SUMIFS(June23!$K$4:$K$13,June23!$J$4:$J$13,Summary!G$14)</f>
        <v>0</v>
      </c>
      <c r="H21" s="16">
        <f>SUMIFS(June23!$K$4:$K$13,June23!$J$4:$J$13,Summary!H$14)</f>
        <v>0</v>
      </c>
    </row>
    <row r="22" spans="1:8" ht="14.25" customHeight="1" x14ac:dyDescent="0.25">
      <c r="A22" s="15" t="s">
        <v>31</v>
      </c>
      <c r="B22" s="16">
        <f>SUMIFS(July23!$K$4:$K$13,July23!$J$4:$J$13,Summary!B$14)</f>
        <v>0</v>
      </c>
      <c r="C22" s="16">
        <f>SUMIFS(July23!$K$4:$K$13,July23!$J$4:$J$13,Summary!C$14)</f>
        <v>0</v>
      </c>
      <c r="D22" s="16">
        <f>SUMIFS(July23!$K$4:$K$13,July23!$J$4:$J$13,Summary!D$14)</f>
        <v>0</v>
      </c>
      <c r="E22" s="16">
        <f>SUMIFS(July23!$K$4:$K$13,July23!$J$4:$J$13,Summary!E$14)</f>
        <v>0</v>
      </c>
      <c r="F22" s="16">
        <f>SUMIFS(July23!$K$4:$K$13,July23!$J$4:$J$13,Summary!F$14)</f>
        <v>0</v>
      </c>
      <c r="G22" s="16">
        <f>SUMIFS(July23!$K$4:$K$13,July23!$J$4:$J$13,Summary!G$14)</f>
        <v>0</v>
      </c>
      <c r="H22" s="16">
        <f>SUMIFS(July23!$K$4:$K$13,July23!$J$4:$J$13,Summary!H$14)</f>
        <v>0</v>
      </c>
    </row>
    <row r="23" spans="1:8" ht="14.25" customHeight="1" x14ac:dyDescent="0.25">
      <c r="A23" s="15" t="s">
        <v>32</v>
      </c>
      <c r="B23" s="16">
        <f>SUMIFS(August23!$K$4:$K$13,August23!$J$4:$J$13,Summary!B$14)</f>
        <v>0</v>
      </c>
      <c r="C23" s="16">
        <f>SUMIFS(August23!$K$4:$K$13,August23!$J$4:$J$13,Summary!C$14)</f>
        <v>0</v>
      </c>
      <c r="D23" s="16">
        <f>SUMIFS(August23!$K$4:$K$13,August23!$J$4:$J$13,Summary!D$14)</f>
        <v>0</v>
      </c>
      <c r="E23" s="16">
        <f>SUMIFS(August23!$K$4:$K$13,August23!$J$4:$J$13,Summary!E$14)</f>
        <v>0</v>
      </c>
      <c r="F23" s="16">
        <f>SUMIFS(August23!$K$4:$K$13,August23!$J$4:$J$13,Summary!F$14)</f>
        <v>0</v>
      </c>
      <c r="G23" s="16">
        <f>SUMIFS(August23!$K$4:$K$13,August23!$J$4:$J$13,Summary!G$14)</f>
        <v>0</v>
      </c>
      <c r="H23" s="16">
        <f>SUMIFS(August23!$K$4:$K$13,August23!$J$4:$J$13,Summary!H$14)</f>
        <v>0</v>
      </c>
    </row>
    <row r="24" spans="1:8" ht="14.25" customHeight="1" x14ac:dyDescent="0.25">
      <c r="A24" s="15" t="s">
        <v>33</v>
      </c>
      <c r="B24" s="16">
        <f>SUMIFS(September23!$K$4:$K$13,September23!$J$4:$J$13,Summary!B$14)</f>
        <v>0</v>
      </c>
      <c r="C24" s="16">
        <f>SUMIFS(September23!$K$4:$K$13,September23!$J$4:$J$13,Summary!C$14)</f>
        <v>0</v>
      </c>
      <c r="D24" s="16">
        <f>SUMIFS(September23!$K$4:$K$13,September23!$J$4:$J$13,Summary!D$14)</f>
        <v>0</v>
      </c>
      <c r="E24" s="16">
        <f>SUMIFS(September23!$K$4:$K$13,September23!$J$4:$J$13,Summary!E$14)</f>
        <v>0</v>
      </c>
      <c r="F24" s="16">
        <f>SUMIFS(September23!$K$4:$K$13,September23!$J$4:$J$13,Summary!F$14)</f>
        <v>0</v>
      </c>
      <c r="G24" s="16">
        <f>SUMIFS(September23!$K$4:$K$13,September23!$J$4:$J$13,Summary!G$14)</f>
        <v>0</v>
      </c>
      <c r="H24" s="16">
        <f>SUMIFS(September23!$K$4:$K$13,September23!$J$4:$J$13,Summary!H$14)</f>
        <v>0</v>
      </c>
    </row>
    <row r="25" spans="1:8" ht="14.25" customHeight="1" x14ac:dyDescent="0.25">
      <c r="A25" s="15" t="s">
        <v>34</v>
      </c>
      <c r="B25" s="16">
        <f>SUMIFS(October23!$K$4:$K$13,October23!$J$4:$J$13,Summary!B$14)</f>
        <v>0</v>
      </c>
      <c r="C25" s="16">
        <f>SUMIFS(October23!$K$4:$K$13,October23!$J$4:$J$13,Summary!C$14)</f>
        <v>0</v>
      </c>
      <c r="D25" s="16">
        <f>SUMIFS(October23!$K$4:$K$13,October23!$J$4:$J$13,Summary!D$14)</f>
        <v>0</v>
      </c>
      <c r="E25" s="16">
        <f>SUMIFS(October23!$K$4:$K$13,October23!$J$4:$J$13,Summary!E$14)</f>
        <v>0</v>
      </c>
      <c r="F25" s="16">
        <f>SUMIFS(October23!$K$4:$K$13,October23!$J$4:$J$13,Summary!F$14)</f>
        <v>0</v>
      </c>
      <c r="G25" s="16">
        <f>SUMIFS(October23!$K$4:$K$13,October23!$J$4:$J$13,Summary!G$14)</f>
        <v>0</v>
      </c>
      <c r="H25" s="16">
        <f>SUMIFS(October23!$K$4:$K$13,October23!$J$4:$J$13,Summary!H$14)</f>
        <v>0</v>
      </c>
    </row>
    <row r="26" spans="1:8" ht="14.25" customHeight="1" x14ac:dyDescent="0.25">
      <c r="A26" s="15" t="s">
        <v>35</v>
      </c>
      <c r="B26" s="16">
        <f>SUMIFS(November23!$K$4:$K$13,November23!$J$4:$J$13,Summary!B$14)</f>
        <v>0</v>
      </c>
      <c r="C26" s="16">
        <f>SUMIFS(November23!$K$4:$K$13,November23!$J$4:$J$13,Summary!C$14)</f>
        <v>0</v>
      </c>
      <c r="D26" s="16">
        <f>SUMIFS(November23!$K$4:$K$13,November23!$J$4:$J$13,Summary!D$14)</f>
        <v>0</v>
      </c>
      <c r="E26" s="16">
        <f>SUMIFS(November23!$K$4:$K$13,November23!$J$4:$J$13,Summary!E$14)</f>
        <v>0</v>
      </c>
      <c r="F26" s="16">
        <f>SUMIFS(November23!$K$4:$K$13,November23!$J$4:$J$13,Summary!F$14)</f>
        <v>0</v>
      </c>
      <c r="G26" s="16">
        <f>SUMIFS(November23!$K$4:$K$13,November23!$J$4:$J$13,Summary!G$14)</f>
        <v>0</v>
      </c>
      <c r="H26" s="16">
        <f>SUMIFS(November23!$K$4:$K$13,November23!$J$4:$J$13,Summary!H$14)</f>
        <v>0</v>
      </c>
    </row>
    <row r="27" spans="1:8" ht="14.25" customHeight="1" x14ac:dyDescent="0.25">
      <c r="A27" s="17" t="s">
        <v>36</v>
      </c>
      <c r="B27" s="16">
        <f>SUMIFS(December23!$K$4:$K$13,December23!$J$4:$J$13,Summary!B$14)</f>
        <v>0</v>
      </c>
      <c r="C27" s="16">
        <f>SUMIFS(December23!$K$4:$K$13,December23!$J$4:$J$13,Summary!C$14)</f>
        <v>0</v>
      </c>
      <c r="D27" s="16">
        <f>SUMIFS(December23!$K$4:$K$13,December23!$J$4:$J$13,Summary!D$14)</f>
        <v>0</v>
      </c>
      <c r="E27" s="16">
        <f>SUMIFS(December23!$K$4:$K$13,December23!$J$4:$J$13,Summary!E$14)</f>
        <v>0</v>
      </c>
      <c r="F27" s="16">
        <f>SUMIFS(December23!$K$4:$K$13,December23!$J$4:$J$13,Summary!F$14)</f>
        <v>0</v>
      </c>
      <c r="G27" s="16">
        <f>SUMIFS(December23!$K$4:$K$13,December23!$J$4:$J$13,Summary!G$14)</f>
        <v>0</v>
      </c>
      <c r="H27" s="16">
        <f>SUMIFS(December23!$K$4:$K$13,December23!$J$4:$J$13,Summary!H$14)</f>
        <v>0</v>
      </c>
    </row>
    <row r="28" spans="1:8" ht="14.25" customHeight="1" x14ac:dyDescent="0.25">
      <c r="A28" s="15" t="s">
        <v>37</v>
      </c>
      <c r="B28" s="16">
        <f>SUMIFS(January24!$K$4:$K$8,January24!$J$4:$J$8,Summary!B$14)</f>
        <v>3</v>
      </c>
      <c r="C28" s="16">
        <f>SUMIFS(January24!$K$4:$K$8,January24!$J$4:$J$8,Summary!C$14)</f>
        <v>0</v>
      </c>
      <c r="D28" s="16">
        <f>SUMIFS(January24!$K$4:$K$8,January24!$J$4:$J$8,Summary!D$14)</f>
        <v>0</v>
      </c>
      <c r="E28" s="16">
        <f>SUMIFS(January24!$K$4:$K$8,January24!$J$4:$J$8,Summary!E$14)</f>
        <v>0</v>
      </c>
      <c r="F28" s="16">
        <f>SUMIFS(January24!$K$4:$K$8,January24!$J$4:$J$8,Summary!F$14)</f>
        <v>0</v>
      </c>
      <c r="G28" s="16">
        <f>SUMIFS(January24!$K$4:$K$8,January24!$J$4:$J$8,Summary!G$14)</f>
        <v>0</v>
      </c>
      <c r="H28" s="16">
        <f>SUMIFS(January24!$K$4:$K$8,January24!$J$4:$J$8,Summary!H$14)</f>
        <v>0</v>
      </c>
    </row>
    <row r="29" spans="1:8" ht="14.25" customHeight="1" x14ac:dyDescent="0.25">
      <c r="A29" s="15" t="s">
        <v>38</v>
      </c>
      <c r="B29" s="16">
        <f>SUMIFS(February24!$K$4:$K$13,February24!$J$4:$J$13,Summary!B$14)</f>
        <v>0</v>
      </c>
      <c r="C29" s="16">
        <f>SUMIFS(February24!$K$4:$K$13,February24!$J$4:$J$13,Summary!C$14)</f>
        <v>0</v>
      </c>
      <c r="D29" s="16">
        <f>SUMIFS(February24!$K$4:$K$13,February24!$J$4:$J$13,Summary!D$14)</f>
        <v>0</v>
      </c>
      <c r="E29" s="16">
        <f>SUMIFS(February24!$K$4:$K$13,February24!$J$4:$J$13,Summary!E$14)</f>
        <v>0</v>
      </c>
      <c r="F29" s="16">
        <f>SUMIFS(February24!$K$4:$K$13,February24!$J$4:$J$13,Summary!F$14)</f>
        <v>0</v>
      </c>
      <c r="G29" s="16">
        <f>SUMIFS(February24!$K$4:$K$13,February24!$J$4:$J$13,Summary!G$14)</f>
        <v>0</v>
      </c>
      <c r="H29" s="16">
        <f>SUMIFS(February24!$K$4:$K$13,February24!$J$4:$J$13,Summary!H$14)</f>
        <v>0</v>
      </c>
    </row>
    <row r="30" spans="1:8" ht="14.25" customHeight="1" x14ac:dyDescent="0.25">
      <c r="A30" s="15" t="s">
        <v>39</v>
      </c>
      <c r="B30" s="16">
        <f>SUMIFS(March24!$K$4:$K$13,March24!$J$4:$J$13,Summary!B$14)</f>
        <v>0</v>
      </c>
      <c r="C30" s="16">
        <f>SUMIFS(March24!$K$4:$K$13,March24!$J$4:$J$13,Summary!C$14)</f>
        <v>0</v>
      </c>
      <c r="D30" s="16">
        <f>SUMIFS(March24!$K$4:$K$13,March24!$J$4:$J$13,Summary!D$14)</f>
        <v>0</v>
      </c>
      <c r="E30" s="16">
        <f>SUMIFS(March24!$K$4:$K$13,March24!$J$4:$J$13,Summary!E$14)</f>
        <v>0</v>
      </c>
      <c r="F30" s="16">
        <f>SUMIFS(March24!$K$4:$K$13,March24!$J$4:$J$13,Summary!F$14)</f>
        <v>0</v>
      </c>
      <c r="G30" s="16">
        <f>SUMIFS(March24!$K$4:$K$13,March24!$J$4:$J$13,Summary!G$14)</f>
        <v>0</v>
      </c>
      <c r="H30" s="16">
        <f>SUMIFS(March24!$K$4:$K$13,March24!$J$4:$J$13,Summary!H$14)</f>
        <v>0</v>
      </c>
    </row>
    <row r="31" spans="1:8" ht="14.25" customHeight="1" x14ac:dyDescent="0.25">
      <c r="A31" s="15" t="s">
        <v>40</v>
      </c>
      <c r="B31" s="16">
        <f>SUMIFS(April24!$K$4:$K$13,April24!$J$4:$J$13,Summary!B$14)</f>
        <v>0</v>
      </c>
      <c r="C31" s="16">
        <f>SUMIFS(April24!$K$4:$K$13,April24!$J$4:$J$13,Summary!C$14)</f>
        <v>0</v>
      </c>
      <c r="D31" s="16">
        <f>SUMIFS(April24!$K$4:$K$13,April24!$J$4:$J$13,Summary!D$14)</f>
        <v>0</v>
      </c>
      <c r="E31" s="16">
        <f>SUMIFS(April24!$K$4:$K$13,April24!$J$4:$J$13,Summary!E$14)</f>
        <v>0</v>
      </c>
      <c r="F31" s="16">
        <f>SUMIFS(April24!$K$4:$K$13,April24!$J$4:$J$13,Summary!F$14)</f>
        <v>0</v>
      </c>
      <c r="G31" s="16">
        <f>SUMIFS(April24!$K$4:$K$13,April24!$J$4:$J$13,Summary!G$14)</f>
        <v>0</v>
      </c>
      <c r="H31" s="16">
        <f>SUMIFS(April24!$K$4:$K$13,April24!$J$4:$J$13,Summary!H$14)</f>
        <v>0</v>
      </c>
    </row>
    <row r="32" spans="1:8" ht="14.25" customHeight="1" x14ac:dyDescent="0.25">
      <c r="A32" s="15" t="s">
        <v>41</v>
      </c>
      <c r="B32" s="16">
        <f>SUMIFS('May24'!$K$4:$K$13,'May24'!$J$4:$J$13,Summary!B$14)</f>
        <v>0</v>
      </c>
      <c r="C32" s="16">
        <f>SUMIFS('May24'!$K$4:$K$13,'May24'!$J$4:$J$13,Summary!C$14)</f>
        <v>0</v>
      </c>
      <c r="D32" s="16">
        <f>SUMIFS('May24'!$K$4:$K$13,'May24'!$J$4:$J$13,Summary!D$14)</f>
        <v>0</v>
      </c>
      <c r="E32" s="16">
        <f>SUMIFS('May24'!$K$4:$K$13,'May24'!$J$4:$J$13,Summary!E$14)</f>
        <v>0</v>
      </c>
      <c r="F32" s="16">
        <f>SUMIFS('May24'!$K$4:$K$13,'May24'!$J$4:$J$13,Summary!F$14)</f>
        <v>0</v>
      </c>
      <c r="G32" s="16">
        <f>SUMIFS('May24'!$K$4:$K$13,'May24'!$J$4:$J$13,Summary!G$14)</f>
        <v>0</v>
      </c>
      <c r="H32" s="16">
        <f>SUMIFS('May24'!$K$4:$K$13,'May24'!$J$4:$J$13,Summary!H$14)</f>
        <v>0</v>
      </c>
    </row>
    <row r="33" spans="1:8" ht="14.25" customHeight="1" x14ac:dyDescent="0.25">
      <c r="A33" s="15" t="s">
        <v>42</v>
      </c>
      <c r="B33" s="18">
        <f>SUMIFS(June24!$K$4:$K$13,June24!$J$4:$J$13,Summary!B$14)</f>
        <v>0</v>
      </c>
      <c r="C33" s="18">
        <f>SUMIFS(June24!$K$4:$K$13,June24!$J$4:$J$13,Summary!C$14)</f>
        <v>0</v>
      </c>
      <c r="D33" s="18">
        <f>SUMIFS(June24!$K$4:$K$13,June24!$J$4:$J$13,Summary!D$14)</f>
        <v>0</v>
      </c>
      <c r="E33" s="18">
        <f>SUMIFS(June24!$K$4:$K$13,June24!$J$4:$J$13,Summary!E$14)</f>
        <v>0</v>
      </c>
      <c r="F33" s="18">
        <f>SUMIFS(June24!$K$4:$K$13,June24!$J$4:$J$13,Summary!F$14)</f>
        <v>0</v>
      </c>
      <c r="G33" s="18">
        <f>SUMIFS(June24!$K$4:$K$13,June24!$J$4:$J$13,Summary!G$14)</f>
        <v>0</v>
      </c>
      <c r="H33" s="18">
        <f>SUMIFS(June24!$K$4:$K$13,June24!$J$4:$J$13,Summary!H$14)</f>
        <v>0</v>
      </c>
    </row>
    <row r="34" spans="1:8" ht="14.25" customHeight="1" x14ac:dyDescent="0.25">
      <c r="A34" s="19" t="s">
        <v>43</v>
      </c>
      <c r="B34" s="20">
        <f t="shared" ref="B34:H34" si="0">SUM(B16:B33)</f>
        <v>3</v>
      </c>
      <c r="C34" s="20">
        <f t="shared" si="0"/>
        <v>0</v>
      </c>
      <c r="D34" s="20">
        <f t="shared" si="0"/>
        <v>0</v>
      </c>
      <c r="E34" s="20">
        <f t="shared" si="0"/>
        <v>0</v>
      </c>
      <c r="F34" s="20">
        <f t="shared" si="0"/>
        <v>5</v>
      </c>
      <c r="G34" s="20">
        <f t="shared" si="0"/>
        <v>0</v>
      </c>
      <c r="H34" s="20">
        <f t="shared" si="0"/>
        <v>0</v>
      </c>
    </row>
    <row r="35" spans="1:8" ht="14.25" customHeight="1" x14ac:dyDescent="0.25">
      <c r="A35" s="21" t="s">
        <v>44</v>
      </c>
      <c r="B35" s="22">
        <f>B34/'Drop-down lists'!$D$21</f>
        <v>0.375</v>
      </c>
      <c r="C35" s="22">
        <f>C34/'Drop-down lists'!$D$21</f>
        <v>0</v>
      </c>
      <c r="D35" s="22">
        <f>D34/'Drop-down lists'!$D$21</f>
        <v>0</v>
      </c>
      <c r="E35" s="22">
        <f>E34/'Drop-down lists'!$D$21</f>
        <v>0</v>
      </c>
      <c r="F35" s="22">
        <f>F34/'Drop-down lists'!$D$21</f>
        <v>0.625</v>
      </c>
      <c r="G35" s="22">
        <f>G34/'Drop-down lists'!$D$21</f>
        <v>0</v>
      </c>
      <c r="H35" s="22">
        <f>H34/'Drop-down lists'!$D$21</f>
        <v>0</v>
      </c>
    </row>
    <row r="36" spans="1:8" ht="14.25" customHeight="1" x14ac:dyDescent="0.25"/>
    <row r="37" spans="1:8" ht="14.25" customHeight="1" x14ac:dyDescent="0.25"/>
    <row r="38" spans="1:8" ht="14.25" customHeight="1" x14ac:dyDescent="0.25"/>
    <row r="39" spans="1:8" ht="14.25" customHeight="1" x14ac:dyDescent="0.25"/>
    <row r="40" spans="1:8" ht="14.25" customHeight="1" x14ac:dyDescent="0.25"/>
    <row r="41" spans="1:8" ht="14.25" customHeight="1" x14ac:dyDescent="0.25"/>
    <row r="42" spans="1:8" ht="14.25" customHeight="1" x14ac:dyDescent="0.25"/>
    <row r="43" spans="1:8" ht="14.25" customHeight="1" x14ac:dyDescent="0.25"/>
    <row r="44" spans="1:8" ht="14.25" customHeight="1" x14ac:dyDescent="0.25"/>
    <row r="45" spans="1:8" ht="14.25" customHeight="1" x14ac:dyDescent="0.25"/>
    <row r="46" spans="1:8" ht="14.25" customHeight="1" x14ac:dyDescent="0.25"/>
    <row r="47" spans="1:8" ht="14.25" customHeight="1" x14ac:dyDescent="0.25"/>
    <row r="48" spans="1: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sheetData>
  <mergeCells count="7">
    <mergeCell ref="B12:I12"/>
    <mergeCell ref="B13:I13"/>
    <mergeCell ref="C4:H4"/>
    <mergeCell ref="B8:I8"/>
    <mergeCell ref="B9:I9"/>
    <mergeCell ref="B10:I10"/>
    <mergeCell ref="B11:I11"/>
  </mergeCells>
  <dataValidations count="1">
    <dataValidation type="list" allowBlank="1" showErrorMessage="1" sqref="B13" xr:uid="{00000000-0002-0000-0100-000000000000}">
      <formula1>"Managers,Teachers/Trainers/Researchers,Technical Staff,Administrative staff"</formula1>
    </dataValidation>
  </dataValidations>
  <pageMargins left="0.7" right="0.7" top="0.75" bottom="0.75" header="0" footer="0"/>
  <pageSetup paperSize="9" orientation="landscape"/>
  <drawing r:id="rId1"/>
  <extLst>
    <ext xmlns:x14="http://schemas.microsoft.com/office/spreadsheetml/2009/9/main" uri="{CCE6A557-97BC-4b89-ADB6-D9C93CAAB3DF}">
      <x14:dataValidations xmlns:xm="http://schemas.microsoft.com/office/excel/2006/main" count="2">
        <x14:dataValidation type="list" allowBlank="1" showErrorMessage="1" xr:uid="{00000000-0002-0000-0100-000001000000}">
          <x14:formula1>
            <xm:f>'Drop-down lists'!$D$7:$D$13</xm:f>
          </x14:formula1>
          <xm:sqref>B14:H14</xm:sqref>
        </x14:dataValidation>
        <x14:dataValidation type="list" allowBlank="1" showErrorMessage="1" xr:uid="{00000000-0002-0000-0100-000002000000}">
          <x14:formula1>
            <xm:f>'Drop-down lists'!$L$24:$L$31</xm:f>
          </x14:formula1>
          <xm:sqref>B12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1019"/>
  <sheetViews>
    <sheetView tabSelected="1" topLeftCell="A43" workbookViewId="0">
      <selection activeCell="I55" sqref="I55"/>
    </sheetView>
  </sheetViews>
  <sheetFormatPr defaultColWidth="14.42578125" defaultRowHeight="15" customHeight="1" x14ac:dyDescent="0.25"/>
  <cols>
    <col min="1" max="1" width="9.28515625" customWidth="1"/>
    <col min="2" max="2" width="15.28515625" customWidth="1"/>
    <col min="3" max="3" width="41.28515625" customWidth="1"/>
    <col min="4" max="8" width="6.42578125" customWidth="1"/>
    <col min="9" max="9" width="6.85546875" customWidth="1"/>
    <col min="10" max="10" width="36"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I2" s="24"/>
      <c r="J2" s="25" t="s">
        <v>45</v>
      </c>
      <c r="K2" s="26"/>
    </row>
    <row r="3" spans="1:16" ht="15" customHeight="1" x14ac:dyDescent="0.25">
      <c r="I3" s="24"/>
      <c r="J3" s="27" t="s">
        <v>46</v>
      </c>
      <c r="K3" s="28" t="s">
        <v>47</v>
      </c>
    </row>
    <row r="4" spans="1:16" ht="14.25" customHeight="1" x14ac:dyDescent="0.25">
      <c r="A4" s="69" t="s">
        <v>10</v>
      </c>
      <c r="B4" s="70"/>
      <c r="C4" s="76" t="str">
        <f>Summary!B8</f>
        <v>GREATER – Growing Rwanda Energy Awareness Through highER education</v>
      </c>
      <c r="D4" s="77"/>
      <c r="E4" s="77"/>
      <c r="F4" s="77"/>
      <c r="G4" s="78"/>
      <c r="J4" s="29" t="s">
        <v>48</v>
      </c>
      <c r="K4" s="30">
        <f>SUMIFS($A$13:$A$52,$C$13:$C$52,$J4)</f>
        <v>36</v>
      </c>
    </row>
    <row r="5" spans="1:16" ht="14.25" customHeight="1" x14ac:dyDescent="0.25">
      <c r="A5" s="71"/>
      <c r="B5" s="65"/>
      <c r="C5" s="79"/>
      <c r="D5" s="64"/>
      <c r="E5" s="64"/>
      <c r="F5" s="64"/>
      <c r="G5" s="65"/>
      <c r="J5" s="29" t="s">
        <v>49</v>
      </c>
      <c r="K5" s="30">
        <f>SUMIFS($A$13:$A$52,$C$13:$C$52,$J5)</f>
        <v>1</v>
      </c>
    </row>
    <row r="6" spans="1:16" ht="15" customHeight="1" x14ac:dyDescent="0.25">
      <c r="A6" s="74" t="s">
        <v>12</v>
      </c>
      <c r="B6" s="73"/>
      <c r="C6" s="80" t="str">
        <f>Summary!B9</f>
        <v>101083081 ERASMUS-EDU-2022-CBHE</v>
      </c>
      <c r="D6" s="57"/>
      <c r="E6" s="57"/>
      <c r="F6" s="57"/>
      <c r="G6" s="58"/>
      <c r="J6" s="29" t="s">
        <v>50</v>
      </c>
      <c r="K6" s="30">
        <f>SUMIFS($A$13:$A$52,$C$13:$C$52,$J6)</f>
        <v>24</v>
      </c>
      <c r="M6" s="31"/>
      <c r="N6" s="31"/>
      <c r="O6" s="31"/>
      <c r="P6" s="31"/>
    </row>
    <row r="7" spans="1:16" x14ac:dyDescent="0.25">
      <c r="A7" s="74" t="s">
        <v>51</v>
      </c>
      <c r="B7" s="73"/>
      <c r="C7" s="72" t="s">
        <v>94</v>
      </c>
      <c r="D7" s="57"/>
      <c r="E7" s="57"/>
      <c r="F7" s="57"/>
      <c r="G7" s="73"/>
      <c r="J7" s="29" t="s">
        <v>52</v>
      </c>
      <c r="K7" s="30">
        <f>SUMIFS($A$13:$A$52,$C$13:$C$52,$J7)</f>
        <v>5</v>
      </c>
      <c r="M7" s="31"/>
      <c r="N7" s="31"/>
      <c r="O7" s="31"/>
      <c r="P7" s="31"/>
    </row>
    <row r="8" spans="1:16" ht="15" customHeight="1" x14ac:dyDescent="0.25">
      <c r="A8" s="74" t="s">
        <v>16</v>
      </c>
      <c r="B8" s="73"/>
      <c r="C8" s="72" t="s">
        <v>90</v>
      </c>
      <c r="D8" s="57"/>
      <c r="E8" s="57"/>
      <c r="F8" s="57"/>
      <c r="G8" s="73"/>
      <c r="J8" s="29" t="s">
        <v>53</v>
      </c>
      <c r="K8" s="30">
        <f>SUMIFS($A$13:$A$52,$C$13:$C$52,$J8)</f>
        <v>45</v>
      </c>
      <c r="M8" s="31"/>
      <c r="N8" s="31"/>
      <c r="O8" s="31"/>
      <c r="P8" s="31"/>
    </row>
    <row r="9" spans="1:16" ht="14.25" customHeight="1" x14ac:dyDescent="0.25">
      <c r="A9" s="75" t="s">
        <v>54</v>
      </c>
      <c r="B9" s="68"/>
      <c r="C9" s="66" t="s">
        <v>79</v>
      </c>
      <c r="D9" s="67"/>
      <c r="E9" s="67"/>
      <c r="F9" s="67"/>
      <c r="G9" s="68"/>
      <c r="J9" s="29" t="s">
        <v>55</v>
      </c>
      <c r="K9" s="30">
        <f>SUMIFS($A$13:$A$52,$C$13:$C$52,$J9)</f>
        <v>5</v>
      </c>
      <c r="L9" s="31"/>
      <c r="M9" s="31"/>
      <c r="N9" s="31"/>
    </row>
    <row r="10" spans="1:16" ht="16.5" customHeight="1" x14ac:dyDescent="0.25">
      <c r="J10" s="29" t="s">
        <v>56</v>
      </c>
      <c r="K10" s="30">
        <f>SUMIFS($A$13:$A$52,$C$13:$C$52,$J10)</f>
        <v>54</v>
      </c>
      <c r="M10" s="31"/>
      <c r="N10" s="31"/>
      <c r="O10" s="31"/>
      <c r="P10" s="31"/>
    </row>
    <row r="11" spans="1:16" ht="16.5" customHeight="1" x14ac:dyDescent="0.25">
      <c r="M11" s="31"/>
      <c r="N11" s="31"/>
      <c r="O11" s="31"/>
      <c r="P11" s="31"/>
    </row>
    <row r="12" spans="1:16" ht="52.5" customHeight="1" x14ac:dyDescent="0.25">
      <c r="A12" s="32" t="s">
        <v>57</v>
      </c>
      <c r="B12" s="32" t="s">
        <v>58</v>
      </c>
      <c r="C12" s="32" t="s">
        <v>46</v>
      </c>
      <c r="D12" s="62" t="s">
        <v>59</v>
      </c>
      <c r="E12" s="54"/>
      <c r="F12" s="54"/>
      <c r="G12" s="54"/>
      <c r="H12" s="54"/>
      <c r="I12" s="54"/>
      <c r="J12" s="55"/>
      <c r="M12" s="31"/>
      <c r="N12" s="31"/>
      <c r="O12" s="31"/>
      <c r="P12" s="31"/>
    </row>
    <row r="13" spans="1:16" ht="14.25" customHeight="1" x14ac:dyDescent="0.25">
      <c r="A13" s="33">
        <v>2</v>
      </c>
      <c r="B13" s="34">
        <v>44963</v>
      </c>
      <c r="C13" s="35" t="s">
        <v>56</v>
      </c>
      <c r="D13" s="63" t="s">
        <v>96</v>
      </c>
      <c r="E13" s="64"/>
      <c r="F13" s="64"/>
      <c r="G13" s="64"/>
      <c r="H13" s="64"/>
      <c r="I13" s="64"/>
      <c r="J13" s="65"/>
    </row>
    <row r="14" spans="1:16" ht="14.25" customHeight="1" x14ac:dyDescent="0.25">
      <c r="A14" s="33">
        <v>5</v>
      </c>
      <c r="B14" s="36">
        <v>44964</v>
      </c>
      <c r="C14" s="35" t="s">
        <v>53</v>
      </c>
      <c r="D14" s="60" t="s">
        <v>97</v>
      </c>
      <c r="E14" s="57"/>
      <c r="F14" s="57"/>
      <c r="G14" s="57"/>
      <c r="H14" s="57"/>
      <c r="I14" s="57"/>
      <c r="J14" s="58"/>
    </row>
    <row r="15" spans="1:16" ht="14.25" customHeight="1" x14ac:dyDescent="0.25">
      <c r="A15" s="33">
        <v>5</v>
      </c>
      <c r="B15" s="36">
        <v>44965</v>
      </c>
      <c r="C15" s="35" t="s">
        <v>53</v>
      </c>
      <c r="D15" s="60" t="s">
        <v>98</v>
      </c>
      <c r="E15" s="57"/>
      <c r="F15" s="57"/>
      <c r="G15" s="57"/>
      <c r="H15" s="57"/>
      <c r="I15" s="57"/>
      <c r="J15" s="58"/>
    </row>
    <row r="16" spans="1:16" ht="14.25" customHeight="1" x14ac:dyDescent="0.25">
      <c r="A16" s="33">
        <v>1</v>
      </c>
      <c r="B16" s="36">
        <v>44966</v>
      </c>
      <c r="C16" s="35" t="s">
        <v>48</v>
      </c>
      <c r="D16" s="60" t="s">
        <v>99</v>
      </c>
      <c r="E16" s="57"/>
      <c r="F16" s="57"/>
      <c r="G16" s="57"/>
      <c r="H16" s="57"/>
      <c r="I16" s="57"/>
      <c r="J16" s="58"/>
    </row>
    <row r="17" spans="1:10" ht="14.25" customHeight="1" x14ac:dyDescent="0.25">
      <c r="A17" s="33">
        <v>2</v>
      </c>
      <c r="B17" s="36">
        <v>45001</v>
      </c>
      <c r="C17" s="35" t="s">
        <v>48</v>
      </c>
      <c r="D17" s="60" t="s">
        <v>100</v>
      </c>
      <c r="E17" s="57"/>
      <c r="F17" s="57"/>
      <c r="G17" s="57"/>
      <c r="H17" s="57"/>
      <c r="I17" s="57"/>
      <c r="J17" s="58"/>
    </row>
    <row r="18" spans="1:10" ht="14.25" customHeight="1" x14ac:dyDescent="0.25">
      <c r="A18" s="33">
        <v>2</v>
      </c>
      <c r="B18" s="36">
        <v>45033</v>
      </c>
      <c r="C18" s="35" t="s">
        <v>48</v>
      </c>
      <c r="D18" s="60" t="s">
        <v>101</v>
      </c>
      <c r="E18" s="57"/>
      <c r="F18" s="57"/>
      <c r="G18" s="57"/>
      <c r="H18" s="57"/>
      <c r="I18" s="57"/>
      <c r="J18" s="58"/>
    </row>
    <row r="19" spans="1:10" ht="14.25" customHeight="1" x14ac:dyDescent="0.25">
      <c r="A19" s="33">
        <v>2</v>
      </c>
      <c r="B19" s="36">
        <v>45036</v>
      </c>
      <c r="C19" s="35" t="s">
        <v>48</v>
      </c>
      <c r="D19" s="60" t="s">
        <v>100</v>
      </c>
      <c r="E19" s="89"/>
      <c r="F19" s="89"/>
      <c r="G19" s="89"/>
      <c r="H19" s="89"/>
      <c r="I19" s="89"/>
      <c r="J19" s="90"/>
    </row>
    <row r="20" spans="1:10" ht="14.25" customHeight="1" x14ac:dyDescent="0.25">
      <c r="A20" s="33">
        <v>1</v>
      </c>
      <c r="B20" s="36">
        <v>45070</v>
      </c>
      <c r="C20" s="35" t="s">
        <v>48</v>
      </c>
      <c r="D20" s="60" t="s">
        <v>102</v>
      </c>
      <c r="E20" s="57"/>
      <c r="F20" s="57"/>
      <c r="G20" s="57"/>
      <c r="H20" s="57"/>
      <c r="I20" s="57"/>
      <c r="J20" s="58"/>
    </row>
    <row r="21" spans="1:10" ht="14.25" customHeight="1" x14ac:dyDescent="0.25">
      <c r="A21" s="33">
        <v>8</v>
      </c>
      <c r="B21" s="36">
        <v>45090</v>
      </c>
      <c r="C21" s="35" t="s">
        <v>50</v>
      </c>
      <c r="D21" s="60" t="s">
        <v>103</v>
      </c>
      <c r="E21" s="57"/>
      <c r="F21" s="57"/>
      <c r="G21" s="57"/>
      <c r="H21" s="57"/>
      <c r="I21" s="57"/>
      <c r="J21" s="58"/>
    </row>
    <row r="22" spans="1:10" ht="14.25" customHeight="1" x14ac:dyDescent="0.25">
      <c r="A22" s="33">
        <v>8</v>
      </c>
      <c r="B22" s="36">
        <v>45091</v>
      </c>
      <c r="C22" s="35" t="s">
        <v>50</v>
      </c>
      <c r="D22" s="60" t="s">
        <v>103</v>
      </c>
      <c r="E22" s="57"/>
      <c r="F22" s="57"/>
      <c r="G22" s="57"/>
      <c r="H22" s="57"/>
      <c r="I22" s="57"/>
      <c r="J22" s="58"/>
    </row>
    <row r="23" spans="1:10" ht="14.25" customHeight="1" x14ac:dyDescent="0.25">
      <c r="A23" s="33">
        <v>8</v>
      </c>
      <c r="B23" s="36">
        <v>45092</v>
      </c>
      <c r="C23" s="35" t="s">
        <v>50</v>
      </c>
      <c r="D23" s="60" t="s">
        <v>103</v>
      </c>
      <c r="E23" s="57"/>
      <c r="F23" s="57"/>
      <c r="G23" s="57"/>
      <c r="H23" s="57"/>
      <c r="I23" s="57"/>
      <c r="J23" s="58"/>
    </row>
    <row r="24" spans="1:10" ht="14.25" customHeight="1" x14ac:dyDescent="0.25">
      <c r="A24" s="33">
        <v>3</v>
      </c>
      <c r="B24" s="36">
        <v>45167</v>
      </c>
      <c r="C24" s="35" t="s">
        <v>48</v>
      </c>
      <c r="D24" s="60" t="s">
        <v>104</v>
      </c>
      <c r="E24" s="57"/>
      <c r="F24" s="57"/>
      <c r="G24" s="57"/>
      <c r="H24" s="57"/>
      <c r="I24" s="57"/>
      <c r="J24" s="58"/>
    </row>
    <row r="25" spans="1:10" ht="14.25" customHeight="1" x14ac:dyDescent="0.25">
      <c r="A25" s="33">
        <v>5</v>
      </c>
      <c r="B25" s="36">
        <v>45168</v>
      </c>
      <c r="C25" s="35" t="s">
        <v>48</v>
      </c>
      <c r="D25" s="60" t="s">
        <v>105</v>
      </c>
      <c r="E25" s="57"/>
      <c r="F25" s="57"/>
      <c r="G25" s="57"/>
      <c r="H25" s="57"/>
      <c r="I25" s="57"/>
      <c r="J25" s="58"/>
    </row>
    <row r="26" spans="1:10" ht="14.25" customHeight="1" x14ac:dyDescent="0.25">
      <c r="A26" s="33">
        <v>5</v>
      </c>
      <c r="B26" s="36">
        <v>45169</v>
      </c>
      <c r="C26" s="35" t="s">
        <v>52</v>
      </c>
      <c r="D26" s="60" t="s">
        <v>106</v>
      </c>
      <c r="E26" s="57"/>
      <c r="F26" s="57"/>
      <c r="G26" s="57"/>
      <c r="H26" s="57"/>
      <c r="I26" s="57"/>
      <c r="J26" s="58"/>
    </row>
    <row r="27" spans="1:10" ht="14.25" customHeight="1" x14ac:dyDescent="0.25">
      <c r="A27" s="33">
        <v>5</v>
      </c>
      <c r="B27" s="36">
        <v>45170</v>
      </c>
      <c r="C27" s="35" t="s">
        <v>55</v>
      </c>
      <c r="D27" s="60" t="s">
        <v>107</v>
      </c>
      <c r="E27" s="57"/>
      <c r="F27" s="57"/>
      <c r="G27" s="57"/>
      <c r="H27" s="57"/>
      <c r="I27" s="57"/>
      <c r="J27" s="58"/>
    </row>
    <row r="28" spans="1:10" ht="14.25" customHeight="1" x14ac:dyDescent="0.25">
      <c r="A28" s="33">
        <v>2</v>
      </c>
      <c r="B28" s="36">
        <v>45197</v>
      </c>
      <c r="C28" s="35" t="s">
        <v>48</v>
      </c>
      <c r="D28" s="60" t="s">
        <v>108</v>
      </c>
      <c r="E28" s="57"/>
      <c r="F28" s="57"/>
      <c r="G28" s="57"/>
      <c r="H28" s="57"/>
      <c r="I28" s="57"/>
      <c r="J28" s="58"/>
    </row>
    <row r="29" spans="1:10" ht="14.25" customHeight="1" x14ac:dyDescent="0.25">
      <c r="A29" s="33">
        <v>1</v>
      </c>
      <c r="B29" s="36">
        <v>45254</v>
      </c>
      <c r="C29" s="35" t="s">
        <v>49</v>
      </c>
      <c r="D29" s="60" t="s">
        <v>112</v>
      </c>
      <c r="E29" s="89"/>
      <c r="F29" s="89"/>
      <c r="G29" s="89"/>
      <c r="H29" s="89"/>
      <c r="I29" s="89"/>
      <c r="J29" s="90"/>
    </row>
    <row r="30" spans="1:10" ht="14.25" customHeight="1" x14ac:dyDescent="0.25">
      <c r="A30" s="33">
        <v>3</v>
      </c>
      <c r="B30" s="36">
        <v>45258</v>
      </c>
      <c r="C30" s="35" t="s">
        <v>56</v>
      </c>
      <c r="D30" s="60" t="s">
        <v>109</v>
      </c>
      <c r="E30" s="57"/>
      <c r="F30" s="57"/>
      <c r="G30" s="57"/>
      <c r="H30" s="57"/>
      <c r="I30" s="57"/>
      <c r="J30" s="58"/>
    </row>
    <row r="31" spans="1:10" ht="14.25" customHeight="1" x14ac:dyDescent="0.25">
      <c r="A31" s="33">
        <v>4</v>
      </c>
      <c r="B31" s="36">
        <v>45282</v>
      </c>
      <c r="C31" s="35" t="s">
        <v>56</v>
      </c>
      <c r="D31" s="60" t="s">
        <v>110</v>
      </c>
      <c r="E31" s="57"/>
      <c r="F31" s="57"/>
      <c r="G31" s="57"/>
      <c r="H31" s="57"/>
      <c r="I31" s="57"/>
      <c r="J31" s="58"/>
    </row>
    <row r="32" spans="1:10" ht="14.25" customHeight="1" x14ac:dyDescent="0.25">
      <c r="A32" s="33">
        <v>8</v>
      </c>
      <c r="B32" s="36">
        <v>45301</v>
      </c>
      <c r="C32" s="35" t="s">
        <v>56</v>
      </c>
      <c r="D32" s="60" t="s">
        <v>111</v>
      </c>
      <c r="E32" s="57"/>
      <c r="F32" s="57"/>
      <c r="G32" s="57"/>
      <c r="H32" s="57"/>
      <c r="I32" s="57"/>
      <c r="J32" s="58"/>
    </row>
    <row r="33" spans="1:10" ht="14.25" customHeight="1" x14ac:dyDescent="0.25">
      <c r="A33" s="33">
        <v>8</v>
      </c>
      <c r="B33" s="36">
        <v>45315</v>
      </c>
      <c r="C33" s="35" t="s">
        <v>56</v>
      </c>
      <c r="D33" s="60" t="s">
        <v>111</v>
      </c>
      <c r="E33" s="57"/>
      <c r="F33" s="57"/>
      <c r="G33" s="57"/>
      <c r="H33" s="57"/>
      <c r="I33" s="57"/>
      <c r="J33" s="58"/>
    </row>
    <row r="34" spans="1:10" ht="14.25" customHeight="1" x14ac:dyDescent="0.25">
      <c r="A34" s="33">
        <v>8</v>
      </c>
      <c r="B34" s="36">
        <v>45320</v>
      </c>
      <c r="C34" s="35" t="s">
        <v>56</v>
      </c>
      <c r="D34" s="60" t="s">
        <v>111</v>
      </c>
      <c r="E34" s="57"/>
      <c r="F34" s="57"/>
      <c r="G34" s="57"/>
      <c r="H34" s="57"/>
      <c r="I34" s="57"/>
      <c r="J34" s="58"/>
    </row>
    <row r="35" spans="1:10" ht="14.25" customHeight="1" x14ac:dyDescent="0.25">
      <c r="A35" s="33">
        <v>3</v>
      </c>
      <c r="B35" s="36">
        <v>45331</v>
      </c>
      <c r="C35" s="35" t="s">
        <v>48</v>
      </c>
      <c r="D35" s="60" t="s">
        <v>113</v>
      </c>
      <c r="E35" s="89"/>
      <c r="F35" s="89"/>
      <c r="G35" s="89"/>
      <c r="H35" s="89"/>
      <c r="I35" s="89"/>
      <c r="J35" s="90"/>
    </row>
    <row r="36" spans="1:10" ht="14.25" customHeight="1" x14ac:dyDescent="0.25">
      <c r="A36" s="33">
        <v>5</v>
      </c>
      <c r="B36" s="36">
        <v>45362</v>
      </c>
      <c r="C36" s="35" t="s">
        <v>56</v>
      </c>
      <c r="D36" s="60" t="s">
        <v>111</v>
      </c>
      <c r="E36" s="89"/>
      <c r="F36" s="89"/>
      <c r="G36" s="89"/>
      <c r="H36" s="89"/>
      <c r="I36" s="89"/>
      <c r="J36" s="90"/>
    </row>
    <row r="37" spans="1:10" ht="14.25" customHeight="1" x14ac:dyDescent="0.25">
      <c r="A37" s="33">
        <v>5</v>
      </c>
      <c r="B37" s="36" t="s">
        <v>115</v>
      </c>
      <c r="C37" s="35" t="s">
        <v>53</v>
      </c>
      <c r="D37" s="60" t="s">
        <v>114</v>
      </c>
      <c r="E37" s="89"/>
      <c r="F37" s="89"/>
      <c r="G37" s="89"/>
      <c r="H37" s="89"/>
      <c r="I37" s="89"/>
      <c r="J37" s="90"/>
    </row>
    <row r="38" spans="1:10" ht="14.25" customHeight="1" x14ac:dyDescent="0.25">
      <c r="A38" s="33">
        <v>5</v>
      </c>
      <c r="B38" s="36" t="s">
        <v>116</v>
      </c>
      <c r="C38" s="35" t="s">
        <v>53</v>
      </c>
      <c r="D38" s="60" t="s">
        <v>114</v>
      </c>
      <c r="E38" s="89"/>
      <c r="F38" s="89"/>
      <c r="G38" s="89"/>
      <c r="H38" s="89"/>
      <c r="I38" s="89"/>
      <c r="J38" s="90"/>
    </row>
    <row r="39" spans="1:10" ht="14.25" customHeight="1" x14ac:dyDescent="0.25">
      <c r="A39" s="33">
        <v>5</v>
      </c>
      <c r="B39" s="36" t="s">
        <v>117</v>
      </c>
      <c r="C39" s="35" t="s">
        <v>53</v>
      </c>
      <c r="D39" s="60" t="s">
        <v>114</v>
      </c>
      <c r="E39" s="89"/>
      <c r="F39" s="89"/>
      <c r="G39" s="89"/>
      <c r="H39" s="89"/>
      <c r="I39" s="89"/>
      <c r="J39" s="90"/>
    </row>
    <row r="40" spans="1:10" ht="14.25" customHeight="1" x14ac:dyDescent="0.25">
      <c r="A40" s="33">
        <v>5</v>
      </c>
      <c r="B40" s="36" t="s">
        <v>118</v>
      </c>
      <c r="C40" s="35" t="s">
        <v>53</v>
      </c>
      <c r="D40" s="60" t="s">
        <v>114</v>
      </c>
      <c r="E40" s="89"/>
      <c r="F40" s="89"/>
      <c r="G40" s="89"/>
      <c r="H40" s="89"/>
      <c r="I40" s="89"/>
      <c r="J40" s="90"/>
    </row>
    <row r="41" spans="1:10" ht="14.25" customHeight="1" x14ac:dyDescent="0.25">
      <c r="A41" s="33">
        <v>5</v>
      </c>
      <c r="B41" s="36" t="s">
        <v>119</v>
      </c>
      <c r="C41" s="35" t="s">
        <v>53</v>
      </c>
      <c r="D41" s="60" t="s">
        <v>122</v>
      </c>
      <c r="E41" s="89"/>
      <c r="F41" s="89"/>
      <c r="G41" s="89"/>
      <c r="H41" s="89"/>
      <c r="I41" s="89"/>
      <c r="J41" s="90"/>
    </row>
    <row r="42" spans="1:10" ht="14.25" customHeight="1" x14ac:dyDescent="0.25">
      <c r="A42" s="33">
        <v>5</v>
      </c>
      <c r="B42" s="36" t="s">
        <v>120</v>
      </c>
      <c r="C42" s="35" t="s">
        <v>53</v>
      </c>
      <c r="D42" s="60" t="s">
        <v>123</v>
      </c>
      <c r="E42" s="89"/>
      <c r="F42" s="89"/>
      <c r="G42" s="89"/>
      <c r="H42" s="89"/>
      <c r="I42" s="89"/>
      <c r="J42" s="90"/>
    </row>
    <row r="43" spans="1:10" ht="14.25" customHeight="1" x14ac:dyDescent="0.25">
      <c r="A43" s="33">
        <v>5</v>
      </c>
      <c r="B43" s="36" t="s">
        <v>121</v>
      </c>
      <c r="C43" s="35" t="s">
        <v>53</v>
      </c>
      <c r="D43" s="60" t="s">
        <v>124</v>
      </c>
      <c r="E43" s="89"/>
      <c r="F43" s="89"/>
      <c r="G43" s="89"/>
      <c r="H43" s="89"/>
      <c r="I43" s="89"/>
      <c r="J43" s="90"/>
    </row>
    <row r="44" spans="1:10" ht="14.25" customHeight="1" x14ac:dyDescent="0.25">
      <c r="A44" s="33">
        <v>5</v>
      </c>
      <c r="B44" s="36">
        <v>45413</v>
      </c>
      <c r="C44" s="35" t="s">
        <v>48</v>
      </c>
      <c r="D44" s="91" t="s">
        <v>125</v>
      </c>
      <c r="E44" s="92"/>
      <c r="F44" s="92"/>
      <c r="G44" s="92"/>
      <c r="H44" s="92"/>
      <c r="I44" s="92"/>
      <c r="J44" s="93"/>
    </row>
    <row r="45" spans="1:10" ht="14.25" customHeight="1" x14ac:dyDescent="0.25">
      <c r="A45" s="33">
        <v>5</v>
      </c>
      <c r="B45" s="36">
        <v>45418</v>
      </c>
      <c r="C45" s="35" t="s">
        <v>48</v>
      </c>
      <c r="D45" s="91" t="s">
        <v>125</v>
      </c>
      <c r="E45" s="92"/>
      <c r="F45" s="92"/>
      <c r="G45" s="92"/>
      <c r="H45" s="92"/>
      <c r="I45" s="92"/>
      <c r="J45" s="93"/>
    </row>
    <row r="46" spans="1:10" ht="14.25" customHeight="1" x14ac:dyDescent="0.25">
      <c r="A46" s="33">
        <v>2</v>
      </c>
      <c r="B46" s="36">
        <v>45440</v>
      </c>
      <c r="C46" s="35" t="s">
        <v>48</v>
      </c>
      <c r="D46" s="91" t="s">
        <v>100</v>
      </c>
      <c r="E46" s="92"/>
      <c r="F46" s="92"/>
      <c r="G46" s="92"/>
      <c r="H46" s="92"/>
      <c r="I46" s="92"/>
      <c r="J46" s="93"/>
    </row>
    <row r="47" spans="1:10" ht="14.25" customHeight="1" x14ac:dyDescent="0.25">
      <c r="A47" s="33">
        <v>2</v>
      </c>
      <c r="B47" s="36">
        <v>45449</v>
      </c>
      <c r="C47" s="35" t="s">
        <v>48</v>
      </c>
      <c r="D47" s="91" t="s">
        <v>108</v>
      </c>
      <c r="E47" s="92"/>
      <c r="F47" s="92"/>
      <c r="G47" s="92"/>
      <c r="H47" s="92"/>
      <c r="I47" s="92"/>
      <c r="J47" s="93"/>
    </row>
    <row r="48" spans="1:10" ht="14.25" customHeight="1" x14ac:dyDescent="0.25">
      <c r="A48" s="33">
        <v>4</v>
      </c>
      <c r="B48" s="36">
        <v>45517</v>
      </c>
      <c r="C48" s="35" t="s">
        <v>56</v>
      </c>
      <c r="D48" s="60" t="s">
        <v>126</v>
      </c>
      <c r="E48" s="89"/>
      <c r="F48" s="89"/>
      <c r="G48" s="89"/>
      <c r="H48" s="89"/>
      <c r="I48" s="89"/>
      <c r="J48" s="90"/>
    </row>
    <row r="49" spans="1:12" ht="14.25" customHeight="1" x14ac:dyDescent="0.25">
      <c r="A49" s="33">
        <v>4</v>
      </c>
      <c r="B49" s="36">
        <v>45518</v>
      </c>
      <c r="C49" s="35" t="s">
        <v>56</v>
      </c>
      <c r="D49" s="60" t="s">
        <v>126</v>
      </c>
      <c r="E49" s="89"/>
      <c r="F49" s="89"/>
      <c r="G49" s="89"/>
      <c r="H49" s="89"/>
      <c r="I49" s="89"/>
      <c r="J49" s="90"/>
    </row>
    <row r="50" spans="1:12" ht="14.25" customHeight="1" x14ac:dyDescent="0.25">
      <c r="A50" s="33">
        <v>4</v>
      </c>
      <c r="B50" s="36">
        <v>45519</v>
      </c>
      <c r="C50" s="35" t="s">
        <v>56</v>
      </c>
      <c r="D50" s="60" t="s">
        <v>126</v>
      </c>
      <c r="E50" s="89"/>
      <c r="F50" s="89"/>
      <c r="G50" s="89"/>
      <c r="H50" s="89"/>
      <c r="I50" s="89"/>
      <c r="J50" s="90"/>
    </row>
    <row r="51" spans="1:12" ht="14.25" customHeight="1" x14ac:dyDescent="0.25">
      <c r="A51" s="33">
        <v>4</v>
      </c>
      <c r="B51" s="36">
        <v>45520</v>
      </c>
      <c r="C51" s="35" t="s">
        <v>56</v>
      </c>
      <c r="D51" s="60" t="s">
        <v>126</v>
      </c>
      <c r="E51" s="89"/>
      <c r="F51" s="89"/>
      <c r="G51" s="89"/>
      <c r="H51" s="89"/>
      <c r="I51" s="89"/>
      <c r="J51" s="90"/>
    </row>
    <row r="52" spans="1:12" ht="14.25" customHeight="1" thickBot="1" x14ac:dyDescent="0.3">
      <c r="A52" s="33">
        <v>1</v>
      </c>
      <c r="B52" s="36">
        <v>45525</v>
      </c>
      <c r="C52" s="35" t="s">
        <v>48</v>
      </c>
      <c r="D52" s="60" t="s">
        <v>127</v>
      </c>
      <c r="E52" s="89"/>
      <c r="F52" s="89"/>
      <c r="G52" s="89"/>
      <c r="H52" s="89"/>
      <c r="I52" s="89"/>
      <c r="J52" s="90"/>
    </row>
    <row r="53" spans="1:12" ht="14.25" customHeight="1" x14ac:dyDescent="0.25">
      <c r="A53" s="37">
        <f>SUM(A13:A52)</f>
        <v>170</v>
      </c>
    </row>
    <row r="54" spans="1:12" ht="14.25" customHeight="1" x14ac:dyDescent="0.25">
      <c r="B54" s="59" t="s">
        <v>60</v>
      </c>
      <c r="C54" s="49"/>
      <c r="D54" s="23"/>
      <c r="G54" s="61" t="s">
        <v>61</v>
      </c>
      <c r="H54" s="49"/>
      <c r="I54" s="49"/>
      <c r="J54" s="49"/>
      <c r="L54" s="38" t="s">
        <v>62</v>
      </c>
    </row>
    <row r="55" spans="1:12" ht="14.25" customHeight="1" x14ac:dyDescent="0.25">
      <c r="B55" s="59" t="s">
        <v>128</v>
      </c>
      <c r="C55" s="49"/>
      <c r="D55" s="49"/>
    </row>
    <row r="56" spans="1:12" ht="14.25" customHeight="1" x14ac:dyDescent="0.25">
      <c r="B56" s="39"/>
      <c r="C56" s="39"/>
      <c r="D56" s="39"/>
      <c r="G56" s="39"/>
      <c r="H56" s="39"/>
      <c r="I56" s="39"/>
      <c r="J56" s="39"/>
      <c r="L56" s="39"/>
    </row>
    <row r="57" spans="1:12" ht="14.25" customHeight="1" x14ac:dyDescent="0.25"/>
    <row r="58" spans="1:12" ht="14.25" customHeight="1" x14ac:dyDescent="0.25"/>
    <row r="59" spans="1:12" ht="14.25" customHeight="1" x14ac:dyDescent="0.25"/>
    <row r="60" spans="1:12" ht="14.25" customHeight="1" x14ac:dyDescent="0.25"/>
    <row r="61" spans="1:12" ht="14.25" customHeight="1" x14ac:dyDescent="0.25"/>
    <row r="62" spans="1:12" ht="14.25" customHeight="1" x14ac:dyDescent="0.25"/>
    <row r="63" spans="1:12" ht="14.25" customHeight="1" x14ac:dyDescent="0.25"/>
    <row r="64" spans="1:12"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sheetData>
  <mergeCells count="54">
    <mergeCell ref="D50:J50"/>
    <mergeCell ref="D48:J48"/>
    <mergeCell ref="D49:J49"/>
    <mergeCell ref="D44:J44"/>
    <mergeCell ref="D45:J45"/>
    <mergeCell ref="D46:J46"/>
    <mergeCell ref="D47:J47"/>
    <mergeCell ref="A9:B9"/>
    <mergeCell ref="A6:B6"/>
    <mergeCell ref="C4:G5"/>
    <mergeCell ref="C6:G6"/>
    <mergeCell ref="D35:J35"/>
    <mergeCell ref="D29:J29"/>
    <mergeCell ref="A4:B5"/>
    <mergeCell ref="C7:G7"/>
    <mergeCell ref="C8:G8"/>
    <mergeCell ref="A7:B7"/>
    <mergeCell ref="A8:B8"/>
    <mergeCell ref="D28:J28"/>
    <mergeCell ref="D30:J30"/>
    <mergeCell ref="D31:J31"/>
    <mergeCell ref="D17:J17"/>
    <mergeCell ref="D18:J18"/>
    <mergeCell ref="D19:J19"/>
    <mergeCell ref="D20:J20"/>
    <mergeCell ref="D21:J21"/>
    <mergeCell ref="D22:J22"/>
    <mergeCell ref="D23:J23"/>
    <mergeCell ref="C9:G9"/>
    <mergeCell ref="D24:J24"/>
    <mergeCell ref="D25:J25"/>
    <mergeCell ref="D26:J26"/>
    <mergeCell ref="D27:J27"/>
    <mergeCell ref="D12:J12"/>
    <mergeCell ref="D14:J14"/>
    <mergeCell ref="D13:J13"/>
    <mergeCell ref="D15:J15"/>
    <mergeCell ref="D16:J16"/>
    <mergeCell ref="B55:D55"/>
    <mergeCell ref="D32:J32"/>
    <mergeCell ref="D33:J33"/>
    <mergeCell ref="D34:J34"/>
    <mergeCell ref="D52:J52"/>
    <mergeCell ref="G54:J54"/>
    <mergeCell ref="B54:C54"/>
    <mergeCell ref="D36:J36"/>
    <mergeCell ref="D37:J37"/>
    <mergeCell ref="D38:J38"/>
    <mergeCell ref="D39:J39"/>
    <mergeCell ref="D40:J40"/>
    <mergeCell ref="D41:J41"/>
    <mergeCell ref="D42:J42"/>
    <mergeCell ref="D43:J43"/>
    <mergeCell ref="D51:J51"/>
  </mergeCells>
  <phoneticPr fontId="11" type="noConversion"/>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3">
        <x14:dataValidation type="list" allowBlank="1" showErrorMessage="1" xr:uid="{00000000-0002-0000-0200-000000000000}">
          <x14:formula1>
            <xm:f>'Drop-down lists'!$D$7:$D$13</xm:f>
          </x14:formula1>
          <xm:sqref>J4:J10 C13:C52</xm:sqref>
        </x14:dataValidation>
        <x14:dataValidation type="list" allowBlank="1" showErrorMessage="1" xr:uid="{00000000-0002-0000-0200-000001000000}">
          <x14:formula1>
            <xm:f>'Drop-down lists'!$L$8:$L$11</xm:f>
          </x14:formula1>
          <xm:sqref>C9</xm:sqref>
        </x14:dataValidation>
        <x14:dataValidation type="list" allowBlank="1" showErrorMessage="1" xr:uid="{00000000-0002-0000-0200-000002000000}">
          <x14:formula1>
            <xm:f>'Drop-down lists'!$L$25:$L$32</xm:f>
          </x14:formula1>
          <xm:sqref>C8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1001"/>
  <sheetViews>
    <sheetView workbookViewId="0"/>
  </sheetViews>
  <sheetFormatPr defaultColWidth="14.42578125" defaultRowHeight="15" customHeight="1" x14ac:dyDescent="0.25"/>
  <cols>
    <col min="1" max="1" width="9.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1" t="str">
        <f>Summary!B9</f>
        <v>101083081 ERASMUS-EDU-2022-CBHE</v>
      </c>
      <c r="D4" s="57"/>
      <c r="E4" s="57"/>
      <c r="F4" s="57"/>
      <c r="G4" s="58"/>
      <c r="J4" s="29" t="s">
        <v>18</v>
      </c>
      <c r="K4" s="30">
        <f t="shared" ref="K4:K10" si="0">SUMIFS($A$13:$A$34,$C$13:$C$34,$J4)</f>
        <v>0</v>
      </c>
    </row>
    <row r="5" spans="1:16" ht="14.25" customHeight="1" x14ac:dyDescent="0.25">
      <c r="A5" s="74" t="s">
        <v>63</v>
      </c>
      <c r="B5" s="73"/>
      <c r="C5" s="82" t="s">
        <v>64</v>
      </c>
      <c r="D5" s="57"/>
      <c r="E5" s="57"/>
      <c r="F5" s="57"/>
      <c r="G5" s="73"/>
      <c r="J5" s="29" t="s">
        <v>19</v>
      </c>
      <c r="K5" s="30">
        <f t="shared" si="0"/>
        <v>0</v>
      </c>
    </row>
    <row r="6" spans="1:16" ht="15" customHeight="1" x14ac:dyDescent="0.25">
      <c r="A6" s="74" t="s">
        <v>65</v>
      </c>
      <c r="B6" s="73"/>
      <c r="C6" s="83">
        <v>2023</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5</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62" t="s">
        <v>59</v>
      </c>
      <c r="E12" s="54"/>
      <c r="F12" s="54"/>
      <c r="G12" s="54"/>
      <c r="H12" s="54"/>
      <c r="I12" s="54"/>
      <c r="J12" s="55"/>
      <c r="M12" s="31"/>
      <c r="N12" s="31"/>
      <c r="O12" s="31"/>
      <c r="P12" s="31"/>
    </row>
    <row r="13" spans="1:16" ht="14.25" customHeight="1" x14ac:dyDescent="0.25">
      <c r="A13" s="33">
        <v>5</v>
      </c>
      <c r="B13" s="42">
        <v>11</v>
      </c>
      <c r="C13" s="35" t="s">
        <v>22</v>
      </c>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5</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0300-000000000000}">
          <x14:formula1>
            <xm:f>'Drop-down lists'!$D$7:$D$13</xm:f>
          </x14:formula1>
          <xm:sqref>J4:J10 C13:C34</xm:sqref>
        </x14:dataValidation>
        <x14:dataValidation type="list" allowBlank="1" showErrorMessage="1" xr:uid="{00000000-0002-0000-0300-000001000000}">
          <x14:formula1>
            <xm:f>'Drop-down lists'!$H$8:$H$19</xm:f>
          </x14:formula1>
          <xm:sqref>C5</xm:sqref>
        </x14:dataValidation>
        <x14:dataValidation type="list" allowBlank="1" showErrorMessage="1" xr:uid="{00000000-0002-0000-0300-000002000000}">
          <x14:formula1>
            <xm:f>'Drop-down lists'!$L$8:$L$11</xm:f>
          </x14:formula1>
          <xm:sqref>C9</xm:sqref>
        </x14:dataValidation>
        <x14:dataValidation type="list" allowBlank="1" showErrorMessage="1" xr:uid="{00000000-0002-0000-0300-000003000000}">
          <x14:formula1>
            <xm:f>'Drop-down lists'!$J$8:$J$12</xm:f>
          </x14:formula1>
          <xm:sqref>C6</xm:sqref>
        </x14:dataValidation>
        <x14:dataValidation type="list" allowBlank="1" showErrorMessage="1" xr:uid="{00000000-0002-0000-0300-000004000000}">
          <x14:formula1>
            <xm:f>'Drop-down lists'!$L$25:$L$32</xm:f>
          </x14:formula1>
          <xm:sqref>C8</xm:sqref>
        </x14:dataValidation>
        <x14:dataValidation type="list" allowBlank="1" showErrorMessage="1" xr:uid="{00000000-0002-0000-0300-000005000000}">
          <x14:formula1>
            <xm:f>'Drop-down lists'!$F$3:$F$33</xm:f>
          </x14:formula1>
          <xm:sqref>B13:B34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0</v>
      </c>
    </row>
    <row r="5" spans="1:16" ht="14.25" customHeight="1" x14ac:dyDescent="0.25">
      <c r="A5" s="74" t="s">
        <v>63</v>
      </c>
      <c r="B5" s="73"/>
      <c r="C5" s="82" t="s">
        <v>67</v>
      </c>
      <c r="D5" s="57"/>
      <c r="E5" s="57"/>
      <c r="F5" s="57"/>
      <c r="G5" s="73"/>
      <c r="J5" s="29" t="s">
        <v>19</v>
      </c>
      <c r="K5" s="30">
        <f t="shared" si="0"/>
        <v>0</v>
      </c>
    </row>
    <row r="6" spans="1:16" ht="15" customHeight="1" x14ac:dyDescent="0.25">
      <c r="A6" s="74" t="s">
        <v>65</v>
      </c>
      <c r="B6" s="73"/>
      <c r="C6" s="83">
        <v>2023</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0</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c r="B13" s="42"/>
      <c r="C13" s="35"/>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0</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0400-000000000000}">
          <x14:formula1>
            <xm:f>'Drop-down lists'!$D$7:$D$13</xm:f>
          </x14:formula1>
          <xm:sqref>J4:J10 C13:C34</xm:sqref>
        </x14:dataValidation>
        <x14:dataValidation type="list" allowBlank="1" showErrorMessage="1" xr:uid="{00000000-0002-0000-0400-000001000000}">
          <x14:formula1>
            <xm:f>'Drop-down lists'!$H$8:$H$19</xm:f>
          </x14:formula1>
          <xm:sqref>C5</xm:sqref>
        </x14:dataValidation>
        <x14:dataValidation type="list" allowBlank="1" showErrorMessage="1" xr:uid="{00000000-0002-0000-0400-000002000000}">
          <x14:formula1>
            <xm:f>'Drop-down lists'!$L$8:$L$11</xm:f>
          </x14:formula1>
          <xm:sqref>C9</xm:sqref>
        </x14:dataValidation>
        <x14:dataValidation type="list" allowBlank="1" showErrorMessage="1" xr:uid="{00000000-0002-0000-0400-000003000000}">
          <x14:formula1>
            <xm:f>'Drop-down lists'!$J$8:$J$12</xm:f>
          </x14:formula1>
          <xm:sqref>C6</xm:sqref>
        </x14:dataValidation>
        <x14:dataValidation type="list" allowBlank="1" showErrorMessage="1" xr:uid="{00000000-0002-0000-0400-000004000000}">
          <x14:formula1>
            <xm:f>'Drop-down lists'!$L$25:$L$32</xm:f>
          </x14:formula1>
          <xm:sqref>C8</xm:sqref>
        </x14:dataValidation>
        <x14:dataValidation type="list" allowBlank="1" showErrorMessage="1" xr:uid="{00000000-0002-0000-0400-000005000000}">
          <x14:formula1>
            <xm:f>'Drop-down lists'!$F$3:$F$33</xm:f>
          </x14:formula1>
          <xm:sqref>B13:B34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0</v>
      </c>
    </row>
    <row r="5" spans="1:16" ht="14.25" customHeight="1" x14ac:dyDescent="0.25">
      <c r="A5" s="74" t="s">
        <v>63</v>
      </c>
      <c r="B5" s="73"/>
      <c r="C5" s="82" t="s">
        <v>68</v>
      </c>
      <c r="D5" s="57"/>
      <c r="E5" s="57"/>
      <c r="F5" s="57"/>
      <c r="G5" s="73"/>
      <c r="J5" s="29" t="s">
        <v>19</v>
      </c>
      <c r="K5" s="30">
        <f t="shared" si="0"/>
        <v>0</v>
      </c>
    </row>
    <row r="6" spans="1:16" ht="15" customHeight="1" x14ac:dyDescent="0.25">
      <c r="A6" s="74" t="s">
        <v>65</v>
      </c>
      <c r="B6" s="73"/>
      <c r="C6" s="83">
        <v>2023</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0</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c r="B13" s="42"/>
      <c r="C13" s="35"/>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0</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0500-000000000000}">
          <x14:formula1>
            <xm:f>'Drop-down lists'!$D$7:$D$13</xm:f>
          </x14:formula1>
          <xm:sqref>J4:J10 C13:C34</xm:sqref>
        </x14:dataValidation>
        <x14:dataValidation type="list" allowBlank="1" showErrorMessage="1" xr:uid="{00000000-0002-0000-0500-000001000000}">
          <x14:formula1>
            <xm:f>'Drop-down lists'!$H$8:$H$19</xm:f>
          </x14:formula1>
          <xm:sqref>C5</xm:sqref>
        </x14:dataValidation>
        <x14:dataValidation type="list" allowBlank="1" showErrorMessage="1" xr:uid="{00000000-0002-0000-0500-000002000000}">
          <x14:formula1>
            <xm:f>'Drop-down lists'!$L$8:$L$11</xm:f>
          </x14:formula1>
          <xm:sqref>C9</xm:sqref>
        </x14:dataValidation>
        <x14:dataValidation type="list" allowBlank="1" showErrorMessage="1" xr:uid="{00000000-0002-0000-0500-000003000000}">
          <x14:formula1>
            <xm:f>'Drop-down lists'!$J$8:$J$12</xm:f>
          </x14:formula1>
          <xm:sqref>C6</xm:sqref>
        </x14:dataValidation>
        <x14:dataValidation type="list" allowBlank="1" showErrorMessage="1" xr:uid="{00000000-0002-0000-0500-000004000000}">
          <x14:formula1>
            <xm:f>'Drop-down lists'!$L$25:$L$32</xm:f>
          </x14:formula1>
          <xm:sqref>C8</xm:sqref>
        </x14:dataValidation>
        <x14:dataValidation type="list" allowBlank="1" showErrorMessage="1" xr:uid="{00000000-0002-0000-0500-000005000000}">
          <x14:formula1>
            <xm:f>'Drop-down lists'!$F$3:$F$33</xm:f>
          </x14:formula1>
          <xm:sqref>B13:B34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0</v>
      </c>
    </row>
    <row r="5" spans="1:16" ht="14.25" customHeight="1" x14ac:dyDescent="0.25">
      <c r="A5" s="74" t="s">
        <v>63</v>
      </c>
      <c r="B5" s="73"/>
      <c r="C5" s="82" t="s">
        <v>69</v>
      </c>
      <c r="D5" s="57"/>
      <c r="E5" s="57"/>
      <c r="F5" s="57"/>
      <c r="G5" s="73"/>
      <c r="J5" s="29" t="s">
        <v>19</v>
      </c>
      <c r="K5" s="30">
        <f t="shared" si="0"/>
        <v>0</v>
      </c>
    </row>
    <row r="6" spans="1:16" ht="15" customHeight="1" x14ac:dyDescent="0.25">
      <c r="A6" s="74" t="s">
        <v>65</v>
      </c>
      <c r="B6" s="73"/>
      <c r="C6" s="83">
        <v>2023</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0</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c r="B13" s="42"/>
      <c r="C13" s="35"/>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0</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0600-000000000000}">
          <x14:formula1>
            <xm:f>'Drop-down lists'!$D$7:$D$13</xm:f>
          </x14:formula1>
          <xm:sqref>J4:J10 C13:C34</xm:sqref>
        </x14:dataValidation>
        <x14:dataValidation type="list" allowBlank="1" showErrorMessage="1" xr:uid="{00000000-0002-0000-0600-000001000000}">
          <x14:formula1>
            <xm:f>'Drop-down lists'!$H$8:$H$19</xm:f>
          </x14:formula1>
          <xm:sqref>C5</xm:sqref>
        </x14:dataValidation>
        <x14:dataValidation type="list" allowBlank="1" showErrorMessage="1" xr:uid="{00000000-0002-0000-0600-000002000000}">
          <x14:formula1>
            <xm:f>'Drop-down lists'!$L$8:$L$11</xm:f>
          </x14:formula1>
          <xm:sqref>C9</xm:sqref>
        </x14:dataValidation>
        <x14:dataValidation type="list" allowBlank="1" showErrorMessage="1" xr:uid="{00000000-0002-0000-0600-000003000000}">
          <x14:formula1>
            <xm:f>'Drop-down lists'!$J$8:$J$12</xm:f>
          </x14:formula1>
          <xm:sqref>C6</xm:sqref>
        </x14:dataValidation>
        <x14:dataValidation type="list" allowBlank="1" showErrorMessage="1" xr:uid="{00000000-0002-0000-0600-000004000000}">
          <x14:formula1>
            <xm:f>'Drop-down lists'!$L$25:$L$32</xm:f>
          </x14:formula1>
          <xm:sqref>C8</xm:sqref>
        </x14:dataValidation>
        <x14:dataValidation type="list" allowBlank="1" showErrorMessage="1" xr:uid="{00000000-0002-0000-0600-000005000000}">
          <x14:formula1>
            <xm:f>'Drop-down lists'!$F$3:$F$33</xm:f>
          </x14:formula1>
          <xm:sqref>B13:B34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0</v>
      </c>
    </row>
    <row r="5" spans="1:16" ht="14.25" customHeight="1" x14ac:dyDescent="0.25">
      <c r="A5" s="74" t="s">
        <v>63</v>
      </c>
      <c r="B5" s="73"/>
      <c r="C5" s="82" t="s">
        <v>70</v>
      </c>
      <c r="D5" s="57"/>
      <c r="E5" s="57"/>
      <c r="F5" s="57"/>
      <c r="G5" s="73"/>
      <c r="J5" s="29" t="s">
        <v>19</v>
      </c>
      <c r="K5" s="30">
        <f t="shared" si="0"/>
        <v>0</v>
      </c>
    </row>
    <row r="6" spans="1:16" ht="15" customHeight="1" x14ac:dyDescent="0.25">
      <c r="A6" s="74" t="s">
        <v>65</v>
      </c>
      <c r="B6" s="73"/>
      <c r="C6" s="83">
        <v>2023</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0</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c r="B13" s="42"/>
      <c r="C13" s="35"/>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0</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0700-000000000000}">
          <x14:formula1>
            <xm:f>'Drop-down lists'!$D$7:$D$13</xm:f>
          </x14:formula1>
          <xm:sqref>J4:J10 C13:C34</xm:sqref>
        </x14:dataValidation>
        <x14:dataValidation type="list" allowBlank="1" showErrorMessage="1" xr:uid="{00000000-0002-0000-0700-000001000000}">
          <x14:formula1>
            <xm:f>'Drop-down lists'!$H$8:$H$19</xm:f>
          </x14:formula1>
          <xm:sqref>C5</xm:sqref>
        </x14:dataValidation>
        <x14:dataValidation type="list" allowBlank="1" showErrorMessage="1" xr:uid="{00000000-0002-0000-0700-000002000000}">
          <x14:formula1>
            <xm:f>'Drop-down lists'!$L$8:$L$11</xm:f>
          </x14:formula1>
          <xm:sqref>C9</xm:sqref>
        </x14:dataValidation>
        <x14:dataValidation type="list" allowBlank="1" showErrorMessage="1" xr:uid="{00000000-0002-0000-0700-000003000000}">
          <x14:formula1>
            <xm:f>'Drop-down lists'!$J$8:$J$12</xm:f>
          </x14:formula1>
          <xm:sqref>C6</xm:sqref>
        </x14:dataValidation>
        <x14:dataValidation type="list" allowBlank="1" showErrorMessage="1" xr:uid="{00000000-0002-0000-0700-000004000000}">
          <x14:formula1>
            <xm:f>'Drop-down lists'!$L$25:$L$32</xm:f>
          </x14:formula1>
          <xm:sqref>C8</xm:sqref>
        </x14:dataValidation>
        <x14:dataValidation type="list" allowBlank="1" showErrorMessage="1" xr:uid="{00000000-0002-0000-0700-000005000000}">
          <x14:formula1>
            <xm:f>'Drop-down lists'!$F$3:$F$33</xm:f>
          </x14:formula1>
          <xm:sqref>B13:B34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0</v>
      </c>
    </row>
    <row r="5" spans="1:16" ht="14.25" customHeight="1" x14ac:dyDescent="0.25">
      <c r="A5" s="74" t="s">
        <v>63</v>
      </c>
      <c r="B5" s="73"/>
      <c r="C5" s="82" t="s">
        <v>71</v>
      </c>
      <c r="D5" s="57"/>
      <c r="E5" s="57"/>
      <c r="F5" s="57"/>
      <c r="G5" s="73"/>
      <c r="J5" s="29" t="s">
        <v>19</v>
      </c>
      <c r="K5" s="30">
        <f t="shared" si="0"/>
        <v>0</v>
      </c>
    </row>
    <row r="6" spans="1:16" ht="15" customHeight="1" x14ac:dyDescent="0.25">
      <c r="A6" s="74" t="s">
        <v>65</v>
      </c>
      <c r="B6" s="73"/>
      <c r="C6" s="83">
        <v>2023</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0</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c r="B13" s="42"/>
      <c r="C13" s="35"/>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0</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0800-000000000000}">
          <x14:formula1>
            <xm:f>'Drop-down lists'!$D$7:$D$13</xm:f>
          </x14:formula1>
          <xm:sqref>J4:J10 C13:C34</xm:sqref>
        </x14:dataValidation>
        <x14:dataValidation type="list" allowBlank="1" showErrorMessage="1" xr:uid="{00000000-0002-0000-0800-000001000000}">
          <x14:formula1>
            <xm:f>'Drop-down lists'!$H$8:$H$19</xm:f>
          </x14:formula1>
          <xm:sqref>C5</xm:sqref>
        </x14:dataValidation>
        <x14:dataValidation type="list" allowBlank="1" showErrorMessage="1" xr:uid="{00000000-0002-0000-0800-000002000000}">
          <x14:formula1>
            <xm:f>'Drop-down lists'!$L$8:$L$11</xm:f>
          </x14:formula1>
          <xm:sqref>C9</xm:sqref>
        </x14:dataValidation>
        <x14:dataValidation type="list" allowBlank="1" showErrorMessage="1" xr:uid="{00000000-0002-0000-0800-000003000000}">
          <x14:formula1>
            <xm:f>'Drop-down lists'!$J$8:$J$12</xm:f>
          </x14:formula1>
          <xm:sqref>C6</xm:sqref>
        </x14:dataValidation>
        <x14:dataValidation type="list" allowBlank="1" showErrorMessage="1" xr:uid="{00000000-0002-0000-0800-000004000000}">
          <x14:formula1>
            <xm:f>'Drop-down lists'!$L$25:$L$32</xm:f>
          </x14:formula1>
          <xm:sqref>C8</xm:sqref>
        </x14:dataValidation>
        <x14:dataValidation type="list" allowBlank="1" showErrorMessage="1" xr:uid="{00000000-0002-0000-0800-000005000000}">
          <x14:formula1>
            <xm:f>'Drop-down lists'!$F$3:$F$33</xm:f>
          </x14:formula1>
          <xm:sqref>B13:B34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0</v>
      </c>
    </row>
    <row r="5" spans="1:16" ht="14.25" customHeight="1" x14ac:dyDescent="0.25">
      <c r="A5" s="74" t="s">
        <v>63</v>
      </c>
      <c r="B5" s="73"/>
      <c r="C5" s="82" t="s">
        <v>72</v>
      </c>
      <c r="D5" s="57"/>
      <c r="E5" s="57"/>
      <c r="F5" s="57"/>
      <c r="G5" s="73"/>
      <c r="J5" s="29" t="s">
        <v>19</v>
      </c>
      <c r="K5" s="30">
        <f t="shared" si="0"/>
        <v>0</v>
      </c>
    </row>
    <row r="6" spans="1:16" ht="15" customHeight="1" x14ac:dyDescent="0.25">
      <c r="A6" s="74" t="s">
        <v>65</v>
      </c>
      <c r="B6" s="73"/>
      <c r="C6" s="83">
        <v>2023</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0</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c r="B13" s="42"/>
      <c r="C13" s="35"/>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0</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0900-000000000000}">
          <x14:formula1>
            <xm:f>'Drop-down lists'!$D$7:$D$13</xm:f>
          </x14:formula1>
          <xm:sqref>J4:J10 C13:C34</xm:sqref>
        </x14:dataValidation>
        <x14:dataValidation type="list" allowBlank="1" showErrorMessage="1" xr:uid="{00000000-0002-0000-0900-000001000000}">
          <x14:formula1>
            <xm:f>'Drop-down lists'!$H$8:$H$19</xm:f>
          </x14:formula1>
          <xm:sqref>C5</xm:sqref>
        </x14:dataValidation>
        <x14:dataValidation type="list" allowBlank="1" showErrorMessage="1" xr:uid="{00000000-0002-0000-0900-000002000000}">
          <x14:formula1>
            <xm:f>'Drop-down lists'!$L$8:$L$11</xm:f>
          </x14:formula1>
          <xm:sqref>C9</xm:sqref>
        </x14:dataValidation>
        <x14:dataValidation type="list" allowBlank="1" showErrorMessage="1" xr:uid="{00000000-0002-0000-0900-000003000000}">
          <x14:formula1>
            <xm:f>'Drop-down lists'!$J$8:$J$12</xm:f>
          </x14:formula1>
          <xm:sqref>C6</xm:sqref>
        </x14:dataValidation>
        <x14:dataValidation type="list" allowBlank="1" showErrorMessage="1" xr:uid="{00000000-0002-0000-0900-000004000000}">
          <x14:formula1>
            <xm:f>'Drop-down lists'!$L$25:$L$32</xm:f>
          </x14:formula1>
          <xm:sqref>C8</xm:sqref>
        </x14:dataValidation>
        <x14:dataValidation type="list" allowBlank="1" showErrorMessage="1" xr:uid="{00000000-0002-0000-0900-000005000000}">
          <x14:formula1>
            <xm:f>'Drop-down lists'!$F$3:$F$33</xm:f>
          </x14:formula1>
          <xm:sqref>B13:B34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0</v>
      </c>
    </row>
    <row r="5" spans="1:16" ht="14.25" customHeight="1" x14ac:dyDescent="0.25">
      <c r="A5" s="74" t="s">
        <v>63</v>
      </c>
      <c r="B5" s="73"/>
      <c r="C5" s="82" t="s">
        <v>73</v>
      </c>
      <c r="D5" s="57"/>
      <c r="E5" s="57"/>
      <c r="F5" s="57"/>
      <c r="G5" s="73"/>
      <c r="J5" s="29" t="s">
        <v>19</v>
      </c>
      <c r="K5" s="30">
        <f t="shared" si="0"/>
        <v>0</v>
      </c>
    </row>
    <row r="6" spans="1:16" ht="15" customHeight="1" x14ac:dyDescent="0.25">
      <c r="A6" s="74" t="s">
        <v>65</v>
      </c>
      <c r="B6" s="73"/>
      <c r="C6" s="83">
        <v>2023</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0</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c r="B13" s="42"/>
      <c r="C13" s="35"/>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0</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0A00-000000000000}">
          <x14:formula1>
            <xm:f>'Drop-down lists'!$D$7:$D$13</xm:f>
          </x14:formula1>
          <xm:sqref>J4:J10 C13:C34</xm:sqref>
        </x14:dataValidation>
        <x14:dataValidation type="list" allowBlank="1" showErrorMessage="1" xr:uid="{00000000-0002-0000-0A00-000001000000}">
          <x14:formula1>
            <xm:f>'Drop-down lists'!$H$8:$H$19</xm:f>
          </x14:formula1>
          <xm:sqref>C5</xm:sqref>
        </x14:dataValidation>
        <x14:dataValidation type="list" allowBlank="1" showErrorMessage="1" xr:uid="{00000000-0002-0000-0A00-000002000000}">
          <x14:formula1>
            <xm:f>'Drop-down lists'!$L$8:$L$11</xm:f>
          </x14:formula1>
          <xm:sqref>C9</xm:sqref>
        </x14:dataValidation>
        <x14:dataValidation type="list" allowBlank="1" showErrorMessage="1" xr:uid="{00000000-0002-0000-0A00-000003000000}">
          <x14:formula1>
            <xm:f>'Drop-down lists'!$J$8:$J$12</xm:f>
          </x14:formula1>
          <xm:sqref>C6</xm:sqref>
        </x14:dataValidation>
        <x14:dataValidation type="list" allowBlank="1" showErrorMessage="1" xr:uid="{00000000-0002-0000-0A00-000004000000}">
          <x14:formula1>
            <xm:f>'Drop-down lists'!$L$25:$L$32</xm:f>
          </x14:formula1>
          <xm:sqref>C8</xm:sqref>
        </x14:dataValidation>
        <x14:dataValidation type="list" allowBlank="1" showErrorMessage="1" xr:uid="{00000000-0002-0000-0A00-000005000000}">
          <x14:formula1>
            <xm:f>'Drop-down lists'!$F$3:$F$33</xm:f>
          </x14:formula1>
          <xm:sqref>B13:B34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0</v>
      </c>
    </row>
    <row r="5" spans="1:16" ht="14.25" customHeight="1" x14ac:dyDescent="0.25">
      <c r="A5" s="74" t="s">
        <v>63</v>
      </c>
      <c r="B5" s="73"/>
      <c r="C5" s="82" t="s">
        <v>74</v>
      </c>
      <c r="D5" s="57"/>
      <c r="E5" s="57"/>
      <c r="F5" s="57"/>
      <c r="G5" s="73"/>
      <c r="J5" s="29" t="s">
        <v>19</v>
      </c>
      <c r="K5" s="30">
        <f t="shared" si="0"/>
        <v>0</v>
      </c>
    </row>
    <row r="6" spans="1:16" ht="15" customHeight="1" x14ac:dyDescent="0.25">
      <c r="A6" s="74" t="s">
        <v>65</v>
      </c>
      <c r="B6" s="73"/>
      <c r="C6" s="83">
        <v>2023</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0</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c r="B13" s="42"/>
      <c r="C13" s="35"/>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0</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0B00-000000000000}">
          <x14:formula1>
            <xm:f>'Drop-down lists'!$D$7:$D$13</xm:f>
          </x14:formula1>
          <xm:sqref>J4:J10 C13:C34</xm:sqref>
        </x14:dataValidation>
        <x14:dataValidation type="list" allowBlank="1" showErrorMessage="1" xr:uid="{00000000-0002-0000-0B00-000001000000}">
          <x14:formula1>
            <xm:f>'Drop-down lists'!$H$8:$H$19</xm:f>
          </x14:formula1>
          <xm:sqref>C5</xm:sqref>
        </x14:dataValidation>
        <x14:dataValidation type="list" allowBlank="1" showErrorMessage="1" xr:uid="{00000000-0002-0000-0B00-000002000000}">
          <x14:formula1>
            <xm:f>'Drop-down lists'!$L$8:$L$11</xm:f>
          </x14:formula1>
          <xm:sqref>C9</xm:sqref>
        </x14:dataValidation>
        <x14:dataValidation type="list" allowBlank="1" showErrorMessage="1" xr:uid="{00000000-0002-0000-0B00-000003000000}">
          <x14:formula1>
            <xm:f>'Drop-down lists'!$J$8:$J$12</xm:f>
          </x14:formula1>
          <xm:sqref>C6</xm:sqref>
        </x14:dataValidation>
        <x14:dataValidation type="list" allowBlank="1" showErrorMessage="1" xr:uid="{00000000-0002-0000-0B00-000004000000}">
          <x14:formula1>
            <xm:f>'Drop-down lists'!$L$25:$L$32</xm:f>
          </x14:formula1>
          <xm:sqref>C8</xm:sqref>
        </x14:dataValidation>
        <x14:dataValidation type="list" allowBlank="1" showErrorMessage="1" xr:uid="{00000000-0002-0000-0B00-000005000000}">
          <x14:formula1>
            <xm:f>'Drop-down lists'!$F$3:$F$33</xm:f>
          </x14:formula1>
          <xm:sqref>B13:B34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0</v>
      </c>
    </row>
    <row r="5" spans="1:16" ht="14.25" customHeight="1" x14ac:dyDescent="0.25">
      <c r="A5" s="74" t="s">
        <v>63</v>
      </c>
      <c r="B5" s="73"/>
      <c r="C5" s="82" t="s">
        <v>75</v>
      </c>
      <c r="D5" s="57"/>
      <c r="E5" s="57"/>
      <c r="F5" s="57"/>
      <c r="G5" s="73"/>
      <c r="J5" s="29" t="s">
        <v>19</v>
      </c>
      <c r="K5" s="30">
        <f t="shared" si="0"/>
        <v>0</v>
      </c>
    </row>
    <row r="6" spans="1:16" ht="15" customHeight="1" x14ac:dyDescent="0.25">
      <c r="A6" s="74" t="s">
        <v>65</v>
      </c>
      <c r="B6" s="73"/>
      <c r="C6" s="83">
        <v>2023</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0</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c r="B13" s="42"/>
      <c r="C13" s="35"/>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0</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0C00-000000000000}">
          <x14:formula1>
            <xm:f>'Drop-down lists'!$D$7:$D$13</xm:f>
          </x14:formula1>
          <xm:sqref>J4:J10 C13:C34</xm:sqref>
        </x14:dataValidation>
        <x14:dataValidation type="list" allowBlank="1" showErrorMessage="1" xr:uid="{00000000-0002-0000-0C00-000001000000}">
          <x14:formula1>
            <xm:f>'Drop-down lists'!$H$8:$H$19</xm:f>
          </x14:formula1>
          <xm:sqref>C5</xm:sqref>
        </x14:dataValidation>
        <x14:dataValidation type="list" allowBlank="1" showErrorMessage="1" xr:uid="{00000000-0002-0000-0C00-000002000000}">
          <x14:formula1>
            <xm:f>'Drop-down lists'!$L$8:$L$11</xm:f>
          </x14:formula1>
          <xm:sqref>C9</xm:sqref>
        </x14:dataValidation>
        <x14:dataValidation type="list" allowBlank="1" showErrorMessage="1" xr:uid="{00000000-0002-0000-0C00-000003000000}">
          <x14:formula1>
            <xm:f>'Drop-down lists'!$J$8:$J$12</xm:f>
          </x14:formula1>
          <xm:sqref>C6</xm:sqref>
        </x14:dataValidation>
        <x14:dataValidation type="list" allowBlank="1" showErrorMessage="1" xr:uid="{00000000-0002-0000-0C00-000004000000}">
          <x14:formula1>
            <xm:f>'Drop-down lists'!$L$25:$L$32</xm:f>
          </x14:formula1>
          <xm:sqref>C8</xm:sqref>
        </x14:dataValidation>
        <x14:dataValidation type="list" allowBlank="1" showErrorMessage="1" xr:uid="{00000000-0002-0000-0C00-000005000000}">
          <x14:formula1>
            <xm:f>'Drop-down lists'!$F$3:$F$33</xm:f>
          </x14:formula1>
          <xm:sqref>B13:B34</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0</v>
      </c>
    </row>
    <row r="5" spans="1:16" ht="14.25" customHeight="1" x14ac:dyDescent="0.25">
      <c r="A5" s="74" t="s">
        <v>63</v>
      </c>
      <c r="B5" s="73"/>
      <c r="C5" s="82" t="s">
        <v>76</v>
      </c>
      <c r="D5" s="57"/>
      <c r="E5" s="57"/>
      <c r="F5" s="57"/>
      <c r="G5" s="73"/>
      <c r="J5" s="29" t="s">
        <v>19</v>
      </c>
      <c r="K5" s="30">
        <f t="shared" si="0"/>
        <v>0</v>
      </c>
    </row>
    <row r="6" spans="1:16" ht="15" customHeight="1" x14ac:dyDescent="0.25">
      <c r="A6" s="74" t="s">
        <v>65</v>
      </c>
      <c r="B6" s="73"/>
      <c r="C6" s="83">
        <v>2023</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0</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c r="B13" s="42"/>
      <c r="C13" s="35"/>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0</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0D00-000000000000}">
          <x14:formula1>
            <xm:f>'Drop-down lists'!$D$7:$D$13</xm:f>
          </x14:formula1>
          <xm:sqref>J4:J10 C13:C34</xm:sqref>
        </x14:dataValidation>
        <x14:dataValidation type="list" allowBlank="1" showErrorMessage="1" xr:uid="{00000000-0002-0000-0D00-000001000000}">
          <x14:formula1>
            <xm:f>'Drop-down lists'!$H$8:$H$19</xm:f>
          </x14:formula1>
          <xm:sqref>C5</xm:sqref>
        </x14:dataValidation>
        <x14:dataValidation type="list" allowBlank="1" showErrorMessage="1" xr:uid="{00000000-0002-0000-0D00-000002000000}">
          <x14:formula1>
            <xm:f>'Drop-down lists'!$L$8:$L$11</xm:f>
          </x14:formula1>
          <xm:sqref>C9</xm:sqref>
        </x14:dataValidation>
        <x14:dataValidation type="list" allowBlank="1" showErrorMessage="1" xr:uid="{00000000-0002-0000-0D00-000003000000}">
          <x14:formula1>
            <xm:f>'Drop-down lists'!$J$8:$J$12</xm:f>
          </x14:formula1>
          <xm:sqref>C6</xm:sqref>
        </x14:dataValidation>
        <x14:dataValidation type="list" allowBlank="1" showErrorMessage="1" xr:uid="{00000000-0002-0000-0D00-000004000000}">
          <x14:formula1>
            <xm:f>'Drop-down lists'!$L$25:$L$32</xm:f>
          </x14:formula1>
          <xm:sqref>C8</xm:sqref>
        </x14:dataValidation>
        <x14:dataValidation type="list" allowBlank="1" showErrorMessage="1" xr:uid="{00000000-0002-0000-0D00-000005000000}">
          <x14:formula1>
            <xm:f>'Drop-down lists'!$F$3:$F$33</xm:f>
          </x14:formula1>
          <xm:sqref>B13:B34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0</v>
      </c>
    </row>
    <row r="5" spans="1:16" ht="14.25" customHeight="1" x14ac:dyDescent="0.25">
      <c r="A5" s="74" t="s">
        <v>63</v>
      </c>
      <c r="B5" s="73"/>
      <c r="C5" s="82" t="s">
        <v>77</v>
      </c>
      <c r="D5" s="57"/>
      <c r="E5" s="57"/>
      <c r="F5" s="57"/>
      <c r="G5" s="73"/>
      <c r="J5" s="29" t="s">
        <v>19</v>
      </c>
      <c r="K5" s="30">
        <f t="shared" si="0"/>
        <v>0</v>
      </c>
    </row>
    <row r="6" spans="1:16" ht="15" customHeight="1" x14ac:dyDescent="0.25">
      <c r="A6" s="74" t="s">
        <v>65</v>
      </c>
      <c r="B6" s="73"/>
      <c r="C6" s="83">
        <v>2023</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0</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c r="B13" s="42"/>
      <c r="C13" s="35"/>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0</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0E00-000000000000}">
          <x14:formula1>
            <xm:f>'Drop-down lists'!$D$7:$D$13</xm:f>
          </x14:formula1>
          <xm:sqref>J4:J10 C13:C34</xm:sqref>
        </x14:dataValidation>
        <x14:dataValidation type="list" allowBlank="1" showErrorMessage="1" xr:uid="{00000000-0002-0000-0E00-000001000000}">
          <x14:formula1>
            <xm:f>'Drop-down lists'!$H$8:$H$19</xm:f>
          </x14:formula1>
          <xm:sqref>C5</xm:sqref>
        </x14:dataValidation>
        <x14:dataValidation type="list" allowBlank="1" showErrorMessage="1" xr:uid="{00000000-0002-0000-0E00-000002000000}">
          <x14:formula1>
            <xm:f>'Drop-down lists'!$L$8:$L$11</xm:f>
          </x14:formula1>
          <xm:sqref>C9</xm:sqref>
        </x14:dataValidation>
        <x14:dataValidation type="list" allowBlank="1" showErrorMessage="1" xr:uid="{00000000-0002-0000-0E00-000003000000}">
          <x14:formula1>
            <xm:f>'Drop-down lists'!$J$8:$J$12</xm:f>
          </x14:formula1>
          <xm:sqref>C6</xm:sqref>
        </x14:dataValidation>
        <x14:dataValidation type="list" allowBlank="1" showErrorMessage="1" xr:uid="{00000000-0002-0000-0E00-000004000000}">
          <x14:formula1>
            <xm:f>'Drop-down lists'!$L$25:$L$32</xm:f>
          </x14:formula1>
          <xm:sqref>C8</xm:sqref>
        </x14:dataValidation>
        <x14:dataValidation type="list" allowBlank="1" showErrorMessage="1" xr:uid="{00000000-0002-0000-0E00-000005000000}">
          <x14:formula1>
            <xm:f>'Drop-down lists'!$F$3:$F$33</xm:f>
          </x14:formula1>
          <xm:sqref>B13:B34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3</v>
      </c>
    </row>
    <row r="5" spans="1:16" ht="14.25" customHeight="1" x14ac:dyDescent="0.25">
      <c r="A5" s="74" t="s">
        <v>63</v>
      </c>
      <c r="B5" s="73"/>
      <c r="C5" s="82" t="s">
        <v>64</v>
      </c>
      <c r="D5" s="57"/>
      <c r="E5" s="57"/>
      <c r="F5" s="57"/>
      <c r="G5" s="73"/>
      <c r="J5" s="29" t="s">
        <v>19</v>
      </c>
      <c r="K5" s="30">
        <f t="shared" si="0"/>
        <v>0</v>
      </c>
    </row>
    <row r="6" spans="1:16" ht="15" customHeight="1" x14ac:dyDescent="0.25">
      <c r="A6" s="74" t="s">
        <v>65</v>
      </c>
      <c r="B6" s="73"/>
      <c r="C6" s="83">
        <v>2024</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t="s">
        <v>78</v>
      </c>
      <c r="D8" s="57"/>
      <c r="E8" s="57"/>
      <c r="F8" s="57"/>
      <c r="G8" s="73"/>
      <c r="J8" s="29" t="s">
        <v>22</v>
      </c>
      <c r="K8" s="30">
        <f t="shared" si="0"/>
        <v>0</v>
      </c>
      <c r="M8" s="31"/>
      <c r="N8" s="31"/>
      <c r="O8" s="31"/>
      <c r="P8" s="31"/>
    </row>
    <row r="9" spans="1:16" ht="14.25" customHeight="1" x14ac:dyDescent="0.25">
      <c r="A9" s="75" t="s">
        <v>54</v>
      </c>
      <c r="B9" s="68"/>
      <c r="C9" s="66" t="s">
        <v>79</v>
      </c>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v>3</v>
      </c>
      <c r="B13" s="42">
        <v>11</v>
      </c>
      <c r="C13" s="35" t="s">
        <v>18</v>
      </c>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3</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0F00-000000000000}">
          <x14:formula1>
            <xm:f>'Drop-down lists'!$D$7:$D$13</xm:f>
          </x14:formula1>
          <xm:sqref>J4:J10 C13:C34</xm:sqref>
        </x14:dataValidation>
        <x14:dataValidation type="list" allowBlank="1" showErrorMessage="1" xr:uid="{00000000-0002-0000-0F00-000001000000}">
          <x14:formula1>
            <xm:f>'Drop-down lists'!$H$8:$H$19</xm:f>
          </x14:formula1>
          <xm:sqref>C5</xm:sqref>
        </x14:dataValidation>
        <x14:dataValidation type="list" allowBlank="1" showErrorMessage="1" xr:uid="{00000000-0002-0000-0F00-000002000000}">
          <x14:formula1>
            <xm:f>'Drop-down lists'!$L$8:$L$11</xm:f>
          </x14:formula1>
          <xm:sqref>C9</xm:sqref>
        </x14:dataValidation>
        <x14:dataValidation type="list" allowBlank="1" showErrorMessage="1" xr:uid="{00000000-0002-0000-0F00-000003000000}">
          <x14:formula1>
            <xm:f>'Drop-down lists'!$J$8:$J$12</xm:f>
          </x14:formula1>
          <xm:sqref>C6</xm:sqref>
        </x14:dataValidation>
        <x14:dataValidation type="list" allowBlank="1" showErrorMessage="1" xr:uid="{00000000-0002-0000-0F00-000004000000}">
          <x14:formula1>
            <xm:f>'Drop-down lists'!$L$25:$L$32</xm:f>
          </x14:formula1>
          <xm:sqref>C8</xm:sqref>
        </x14:dataValidation>
        <x14:dataValidation type="list" allowBlank="1" showErrorMessage="1" xr:uid="{00000000-0002-0000-0F00-000005000000}">
          <x14:formula1>
            <xm:f>'Drop-down lists'!$F$3:$F$33</xm:f>
          </x14:formula1>
          <xm:sqref>B13:B34</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0</v>
      </c>
    </row>
    <row r="5" spans="1:16" ht="14.25" customHeight="1" x14ac:dyDescent="0.25">
      <c r="A5" s="74" t="s">
        <v>63</v>
      </c>
      <c r="B5" s="73"/>
      <c r="C5" s="82" t="s">
        <v>67</v>
      </c>
      <c r="D5" s="57"/>
      <c r="E5" s="57"/>
      <c r="F5" s="57"/>
      <c r="G5" s="73"/>
      <c r="J5" s="29" t="s">
        <v>19</v>
      </c>
      <c r="K5" s="30">
        <f t="shared" si="0"/>
        <v>0</v>
      </c>
    </row>
    <row r="6" spans="1:16" ht="15" customHeight="1" x14ac:dyDescent="0.25">
      <c r="A6" s="74" t="s">
        <v>65</v>
      </c>
      <c r="B6" s="73"/>
      <c r="C6" s="83">
        <v>2024</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0</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c r="B13" s="42"/>
      <c r="C13" s="35"/>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0</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1000-000000000000}">
          <x14:formula1>
            <xm:f>'Drop-down lists'!$D$7:$D$13</xm:f>
          </x14:formula1>
          <xm:sqref>J4:J10 C13:C34</xm:sqref>
        </x14:dataValidation>
        <x14:dataValidation type="list" allowBlank="1" showErrorMessage="1" xr:uid="{00000000-0002-0000-1000-000001000000}">
          <x14:formula1>
            <xm:f>'Drop-down lists'!$H$8:$H$19</xm:f>
          </x14:formula1>
          <xm:sqref>C5</xm:sqref>
        </x14:dataValidation>
        <x14:dataValidation type="list" allowBlank="1" showErrorMessage="1" xr:uid="{00000000-0002-0000-1000-000002000000}">
          <x14:formula1>
            <xm:f>'Drop-down lists'!$L$8:$L$11</xm:f>
          </x14:formula1>
          <xm:sqref>C9</xm:sqref>
        </x14:dataValidation>
        <x14:dataValidation type="list" allowBlank="1" showErrorMessage="1" xr:uid="{00000000-0002-0000-1000-000003000000}">
          <x14:formula1>
            <xm:f>'Drop-down lists'!$J$8:$J$12</xm:f>
          </x14:formula1>
          <xm:sqref>C6</xm:sqref>
        </x14:dataValidation>
        <x14:dataValidation type="list" allowBlank="1" showErrorMessage="1" xr:uid="{00000000-0002-0000-1000-000004000000}">
          <x14:formula1>
            <xm:f>'Drop-down lists'!$L$25:$L$32</xm:f>
          </x14:formula1>
          <xm:sqref>C8</xm:sqref>
        </x14:dataValidation>
        <x14:dataValidation type="list" allowBlank="1" showErrorMessage="1" xr:uid="{00000000-0002-0000-1000-000005000000}">
          <x14:formula1>
            <xm:f>'Drop-down lists'!$F$3:$F$33</xm:f>
          </x14:formula1>
          <xm:sqref>B13:B34</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0</v>
      </c>
    </row>
    <row r="5" spans="1:16" ht="14.25" customHeight="1" x14ac:dyDescent="0.25">
      <c r="A5" s="74" t="s">
        <v>63</v>
      </c>
      <c r="B5" s="73"/>
      <c r="C5" s="82" t="s">
        <v>68</v>
      </c>
      <c r="D5" s="57"/>
      <c r="E5" s="57"/>
      <c r="F5" s="57"/>
      <c r="G5" s="73"/>
      <c r="J5" s="29" t="s">
        <v>19</v>
      </c>
      <c r="K5" s="30">
        <f t="shared" si="0"/>
        <v>0</v>
      </c>
    </row>
    <row r="6" spans="1:16" ht="15" customHeight="1" x14ac:dyDescent="0.25">
      <c r="A6" s="74" t="s">
        <v>65</v>
      </c>
      <c r="B6" s="73"/>
      <c r="C6" s="83">
        <v>2024</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0</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c r="B13" s="42"/>
      <c r="C13" s="35"/>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0</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1100-000000000000}">
          <x14:formula1>
            <xm:f>'Drop-down lists'!$D$7:$D$13</xm:f>
          </x14:formula1>
          <xm:sqref>J4:J10 C13:C34</xm:sqref>
        </x14:dataValidation>
        <x14:dataValidation type="list" allowBlank="1" showErrorMessage="1" xr:uid="{00000000-0002-0000-1100-000001000000}">
          <x14:formula1>
            <xm:f>'Drop-down lists'!$H$8:$H$19</xm:f>
          </x14:formula1>
          <xm:sqref>C5</xm:sqref>
        </x14:dataValidation>
        <x14:dataValidation type="list" allowBlank="1" showErrorMessage="1" xr:uid="{00000000-0002-0000-1100-000002000000}">
          <x14:formula1>
            <xm:f>'Drop-down lists'!$L$8:$L$11</xm:f>
          </x14:formula1>
          <xm:sqref>C9</xm:sqref>
        </x14:dataValidation>
        <x14:dataValidation type="list" allowBlank="1" showErrorMessage="1" xr:uid="{00000000-0002-0000-1100-000003000000}">
          <x14:formula1>
            <xm:f>'Drop-down lists'!$J$8:$J$12</xm:f>
          </x14:formula1>
          <xm:sqref>C6</xm:sqref>
        </x14:dataValidation>
        <x14:dataValidation type="list" allowBlank="1" showErrorMessage="1" xr:uid="{00000000-0002-0000-1100-000004000000}">
          <x14:formula1>
            <xm:f>'Drop-down lists'!$L$25:$L$32</xm:f>
          </x14:formula1>
          <xm:sqref>C8</xm:sqref>
        </x14:dataValidation>
        <x14:dataValidation type="list" allowBlank="1" showErrorMessage="1" xr:uid="{00000000-0002-0000-1100-000005000000}">
          <x14:formula1>
            <xm:f>'Drop-down lists'!$F$3:$F$33</xm:f>
          </x14:formula1>
          <xm:sqref>B13:B34</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0</v>
      </c>
    </row>
    <row r="5" spans="1:16" ht="14.25" customHeight="1" x14ac:dyDescent="0.25">
      <c r="A5" s="74" t="s">
        <v>63</v>
      </c>
      <c r="B5" s="73"/>
      <c r="C5" s="82" t="s">
        <v>69</v>
      </c>
      <c r="D5" s="57"/>
      <c r="E5" s="57"/>
      <c r="F5" s="57"/>
      <c r="G5" s="73"/>
      <c r="J5" s="29" t="s">
        <v>19</v>
      </c>
      <c r="K5" s="30">
        <f t="shared" si="0"/>
        <v>0</v>
      </c>
    </row>
    <row r="6" spans="1:16" ht="15" customHeight="1" x14ac:dyDescent="0.25">
      <c r="A6" s="74" t="s">
        <v>65</v>
      </c>
      <c r="B6" s="73"/>
      <c r="C6" s="83">
        <v>2024</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0</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c r="B13" s="42"/>
      <c r="C13" s="35"/>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0</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1200-000000000000}">
          <x14:formula1>
            <xm:f>'Drop-down lists'!$D$7:$D$13</xm:f>
          </x14:formula1>
          <xm:sqref>J4:J10 C13:C34</xm:sqref>
        </x14:dataValidation>
        <x14:dataValidation type="list" allowBlank="1" showErrorMessage="1" xr:uid="{00000000-0002-0000-1200-000001000000}">
          <x14:formula1>
            <xm:f>'Drop-down lists'!$H$8:$H$19</xm:f>
          </x14:formula1>
          <xm:sqref>C5</xm:sqref>
        </x14:dataValidation>
        <x14:dataValidation type="list" allowBlank="1" showErrorMessage="1" xr:uid="{00000000-0002-0000-1200-000002000000}">
          <x14:formula1>
            <xm:f>'Drop-down lists'!$L$8:$L$11</xm:f>
          </x14:formula1>
          <xm:sqref>C9</xm:sqref>
        </x14:dataValidation>
        <x14:dataValidation type="list" allowBlank="1" showErrorMessage="1" xr:uid="{00000000-0002-0000-1200-000003000000}">
          <x14:formula1>
            <xm:f>'Drop-down lists'!$J$8:$J$12</xm:f>
          </x14:formula1>
          <xm:sqref>C6</xm:sqref>
        </x14:dataValidation>
        <x14:dataValidation type="list" allowBlank="1" showErrorMessage="1" xr:uid="{00000000-0002-0000-1200-000004000000}">
          <x14:formula1>
            <xm:f>'Drop-down lists'!$L$25:$L$32</xm:f>
          </x14:formula1>
          <xm:sqref>C8</xm:sqref>
        </x14:dataValidation>
        <x14:dataValidation type="list" allowBlank="1" showErrorMessage="1" xr:uid="{00000000-0002-0000-1200-000005000000}">
          <x14:formula1>
            <xm:f>'Drop-down lists'!$F$3:$F$33</xm:f>
          </x14:formula1>
          <xm:sqref>B13:B34</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0</v>
      </c>
    </row>
    <row r="5" spans="1:16" ht="14.25" customHeight="1" x14ac:dyDescent="0.25">
      <c r="A5" s="74" t="s">
        <v>63</v>
      </c>
      <c r="B5" s="73"/>
      <c r="C5" s="82" t="s">
        <v>69</v>
      </c>
      <c r="D5" s="57"/>
      <c r="E5" s="57"/>
      <c r="F5" s="57"/>
      <c r="G5" s="73"/>
      <c r="J5" s="29" t="s">
        <v>19</v>
      </c>
      <c r="K5" s="30">
        <f t="shared" si="0"/>
        <v>0</v>
      </c>
    </row>
    <row r="6" spans="1:16" ht="15" customHeight="1" x14ac:dyDescent="0.25">
      <c r="A6" s="74" t="s">
        <v>65</v>
      </c>
      <c r="B6" s="73"/>
      <c r="C6" s="83">
        <v>2024</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0</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c r="B13" s="42"/>
      <c r="C13" s="35"/>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0</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1300-000000000000}">
          <x14:formula1>
            <xm:f>'Drop-down lists'!$D$7:$D$13</xm:f>
          </x14:formula1>
          <xm:sqref>J4:J10 C13:C34</xm:sqref>
        </x14:dataValidation>
        <x14:dataValidation type="list" allowBlank="1" showErrorMessage="1" xr:uid="{00000000-0002-0000-1300-000001000000}">
          <x14:formula1>
            <xm:f>'Drop-down lists'!$H$8:$H$19</xm:f>
          </x14:formula1>
          <xm:sqref>C5</xm:sqref>
        </x14:dataValidation>
        <x14:dataValidation type="list" allowBlank="1" showErrorMessage="1" xr:uid="{00000000-0002-0000-1300-000002000000}">
          <x14:formula1>
            <xm:f>'Drop-down lists'!$L$8:$L$11</xm:f>
          </x14:formula1>
          <xm:sqref>C9</xm:sqref>
        </x14:dataValidation>
        <x14:dataValidation type="list" allowBlank="1" showErrorMessage="1" xr:uid="{00000000-0002-0000-1300-000003000000}">
          <x14:formula1>
            <xm:f>'Drop-down lists'!$J$8:$J$12</xm:f>
          </x14:formula1>
          <xm:sqref>C6</xm:sqref>
        </x14:dataValidation>
        <x14:dataValidation type="list" allowBlank="1" showErrorMessage="1" xr:uid="{00000000-0002-0000-1300-000004000000}">
          <x14:formula1>
            <xm:f>'Drop-down lists'!$L$25:$L$32</xm:f>
          </x14:formula1>
          <xm:sqref>C8</xm:sqref>
        </x14:dataValidation>
        <x14:dataValidation type="list" allowBlank="1" showErrorMessage="1" xr:uid="{00000000-0002-0000-1300-000005000000}">
          <x14:formula1>
            <xm:f>'Drop-down lists'!$F$3:$F$33</xm:f>
          </x14:formula1>
          <xm:sqref>B13:B34</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P1001"/>
  <sheetViews>
    <sheetView workbookViewId="0"/>
  </sheetViews>
  <sheetFormatPr defaultColWidth="14.42578125" defaultRowHeight="15" customHeight="1" x14ac:dyDescent="0.25"/>
  <cols>
    <col min="1" max="1" width="10.28515625" customWidth="1"/>
    <col min="2" max="2" width="6.140625" customWidth="1"/>
    <col min="3" max="3" width="20.42578125" customWidth="1"/>
    <col min="4" max="8" width="6.42578125" customWidth="1"/>
    <col min="9" max="9" width="6.85546875" customWidth="1"/>
    <col min="10" max="10" width="18" customWidth="1"/>
    <col min="11" max="11" width="25" customWidth="1"/>
    <col min="12" max="12" width="53.42578125" customWidth="1"/>
    <col min="13" max="26" width="8.85546875" customWidth="1"/>
  </cols>
  <sheetData>
    <row r="1" spans="1:16" ht="14.25" customHeight="1" x14ac:dyDescent="0.25">
      <c r="A1" s="23"/>
      <c r="B1" s="23"/>
      <c r="C1" s="23"/>
      <c r="D1" s="23"/>
      <c r="E1" s="23"/>
      <c r="F1" s="23"/>
      <c r="G1" s="23"/>
    </row>
    <row r="2" spans="1:16" ht="14.25" customHeight="1" x14ac:dyDescent="0.25">
      <c r="A2" s="69" t="s">
        <v>10</v>
      </c>
      <c r="B2" s="70"/>
      <c r="C2" s="76" t="str">
        <f>Summary!B8</f>
        <v>GREATER – Growing Rwanda Energy Awareness Through highER education</v>
      </c>
      <c r="D2" s="77"/>
      <c r="E2" s="77"/>
      <c r="F2" s="77"/>
      <c r="G2" s="78"/>
      <c r="I2" s="24"/>
      <c r="J2" s="25" t="s">
        <v>45</v>
      </c>
      <c r="K2" s="26"/>
    </row>
    <row r="3" spans="1:16" ht="15" customHeight="1" x14ac:dyDescent="0.25">
      <c r="A3" s="71"/>
      <c r="B3" s="65"/>
      <c r="C3" s="79"/>
      <c r="D3" s="64"/>
      <c r="E3" s="64"/>
      <c r="F3" s="64"/>
      <c r="G3" s="65"/>
      <c r="I3" s="24"/>
      <c r="J3" s="27" t="s">
        <v>46</v>
      </c>
      <c r="K3" s="28" t="s">
        <v>47</v>
      </c>
    </row>
    <row r="4" spans="1:16" ht="14.25" customHeight="1" x14ac:dyDescent="0.25">
      <c r="A4" s="74" t="s">
        <v>12</v>
      </c>
      <c r="B4" s="73"/>
      <c r="C4" s="82" t="str">
        <f>Summary!B9</f>
        <v>101083081 ERASMUS-EDU-2022-CBHE</v>
      </c>
      <c r="D4" s="57"/>
      <c r="E4" s="57"/>
      <c r="F4" s="57"/>
      <c r="G4" s="73"/>
      <c r="J4" s="29" t="s">
        <v>18</v>
      </c>
      <c r="K4" s="30">
        <f t="shared" ref="K4:K10" si="0">SUMIFS($A$13:$A$34,$C$13:$C$34,$J4)</f>
        <v>0</v>
      </c>
    </row>
    <row r="5" spans="1:16" ht="14.25" customHeight="1" x14ac:dyDescent="0.25">
      <c r="A5" s="74" t="s">
        <v>63</v>
      </c>
      <c r="B5" s="73"/>
      <c r="C5" s="82" t="s">
        <v>69</v>
      </c>
      <c r="D5" s="57"/>
      <c r="E5" s="57"/>
      <c r="F5" s="57"/>
      <c r="G5" s="73"/>
      <c r="J5" s="29" t="s">
        <v>19</v>
      </c>
      <c r="K5" s="30">
        <f t="shared" si="0"/>
        <v>0</v>
      </c>
    </row>
    <row r="6" spans="1:16" ht="15" customHeight="1" x14ac:dyDescent="0.25">
      <c r="A6" s="74" t="s">
        <v>65</v>
      </c>
      <c r="B6" s="73"/>
      <c r="C6" s="83">
        <v>2024</v>
      </c>
      <c r="D6" s="57"/>
      <c r="E6" s="57"/>
      <c r="F6" s="57"/>
      <c r="G6" s="73"/>
      <c r="J6" s="29" t="s">
        <v>20</v>
      </c>
      <c r="K6" s="30">
        <f t="shared" si="0"/>
        <v>0</v>
      </c>
      <c r="M6" s="31"/>
      <c r="N6" s="31"/>
      <c r="O6" s="31"/>
      <c r="P6" s="31"/>
    </row>
    <row r="7" spans="1:16" x14ac:dyDescent="0.25">
      <c r="A7" s="74" t="s">
        <v>51</v>
      </c>
      <c r="B7" s="73"/>
      <c r="C7" s="72"/>
      <c r="D7" s="57"/>
      <c r="E7" s="57"/>
      <c r="F7" s="57"/>
      <c r="G7" s="73"/>
      <c r="J7" s="29" t="s">
        <v>21</v>
      </c>
      <c r="K7" s="30">
        <f t="shared" si="0"/>
        <v>0</v>
      </c>
      <c r="M7" s="31"/>
      <c r="N7" s="31"/>
      <c r="O7" s="31"/>
      <c r="P7" s="31"/>
    </row>
    <row r="8" spans="1:16" ht="15" customHeight="1" x14ac:dyDescent="0.25">
      <c r="A8" s="74" t="s">
        <v>16</v>
      </c>
      <c r="B8" s="73"/>
      <c r="C8" s="72"/>
      <c r="D8" s="57"/>
      <c r="E8" s="57"/>
      <c r="F8" s="57"/>
      <c r="G8" s="73"/>
      <c r="J8" s="29" t="s">
        <v>22</v>
      </c>
      <c r="K8" s="30">
        <f t="shared" si="0"/>
        <v>0</v>
      </c>
      <c r="M8" s="31"/>
      <c r="N8" s="31"/>
      <c r="O8" s="31"/>
      <c r="P8" s="31"/>
    </row>
    <row r="9" spans="1:16" ht="14.25" customHeight="1" x14ac:dyDescent="0.25">
      <c r="A9" s="75" t="s">
        <v>54</v>
      </c>
      <c r="B9" s="68"/>
      <c r="C9" s="66"/>
      <c r="D9" s="67"/>
      <c r="E9" s="67"/>
      <c r="F9" s="67"/>
      <c r="G9" s="68"/>
      <c r="J9" s="29" t="s">
        <v>23</v>
      </c>
      <c r="K9" s="30">
        <f t="shared" si="0"/>
        <v>0</v>
      </c>
      <c r="L9" s="31"/>
      <c r="M9" s="31"/>
      <c r="N9" s="31"/>
    </row>
    <row r="10" spans="1:16" ht="16.5" customHeight="1" x14ac:dyDescent="0.25">
      <c r="J10" s="29" t="s">
        <v>24</v>
      </c>
      <c r="K10" s="30">
        <f t="shared" si="0"/>
        <v>0</v>
      </c>
      <c r="M10" s="31"/>
      <c r="N10" s="31"/>
      <c r="O10" s="31"/>
      <c r="P10" s="31"/>
    </row>
    <row r="11" spans="1:16" ht="16.5" customHeight="1" x14ac:dyDescent="0.25">
      <c r="M11" s="31"/>
      <c r="N11" s="31"/>
      <c r="O11" s="31"/>
      <c r="P11" s="31"/>
    </row>
    <row r="12" spans="1:16" ht="52.5" customHeight="1" x14ac:dyDescent="0.25">
      <c r="A12" s="40" t="s">
        <v>57</v>
      </c>
      <c r="B12" s="41" t="s">
        <v>66</v>
      </c>
      <c r="C12" s="41" t="s">
        <v>46</v>
      </c>
      <c r="D12" s="87" t="s">
        <v>59</v>
      </c>
      <c r="E12" s="54"/>
      <c r="F12" s="54"/>
      <c r="G12" s="54"/>
      <c r="H12" s="54"/>
      <c r="I12" s="54"/>
      <c r="J12" s="88"/>
      <c r="M12" s="31"/>
      <c r="N12" s="31"/>
      <c r="O12" s="31"/>
      <c r="P12" s="31"/>
    </row>
    <row r="13" spans="1:16" ht="14.25" customHeight="1" x14ac:dyDescent="0.25">
      <c r="A13" s="33"/>
      <c r="B13" s="42"/>
      <c r="C13" s="35"/>
      <c r="D13" s="84"/>
      <c r="E13" s="85"/>
      <c r="F13" s="85"/>
      <c r="G13" s="85"/>
      <c r="H13" s="85"/>
      <c r="I13" s="85"/>
      <c r="J13" s="86"/>
    </row>
    <row r="14" spans="1:16" ht="14.25" customHeight="1" x14ac:dyDescent="0.25">
      <c r="A14" s="33"/>
      <c r="B14" s="42"/>
      <c r="C14" s="35"/>
      <c r="D14" s="60"/>
      <c r="E14" s="57"/>
      <c r="F14" s="57"/>
      <c r="G14" s="57"/>
      <c r="H14" s="57"/>
      <c r="I14" s="57"/>
      <c r="J14" s="58"/>
    </row>
    <row r="15" spans="1:16" ht="14.25" customHeight="1" x14ac:dyDescent="0.25">
      <c r="A15" s="33"/>
      <c r="B15" s="42"/>
      <c r="C15" s="35"/>
      <c r="D15" s="60"/>
      <c r="E15" s="57"/>
      <c r="F15" s="57"/>
      <c r="G15" s="57"/>
      <c r="H15" s="57"/>
      <c r="I15" s="57"/>
      <c r="J15" s="58"/>
    </row>
    <row r="16" spans="1:16" ht="14.25" customHeight="1" x14ac:dyDescent="0.25">
      <c r="A16" s="33"/>
      <c r="B16" s="42"/>
      <c r="C16" s="35"/>
      <c r="D16" s="60"/>
      <c r="E16" s="57"/>
      <c r="F16" s="57"/>
      <c r="G16" s="57"/>
      <c r="H16" s="57"/>
      <c r="I16" s="57"/>
      <c r="J16" s="58"/>
    </row>
    <row r="17" spans="1:10" ht="14.25" customHeight="1" x14ac:dyDescent="0.25">
      <c r="A17" s="33"/>
      <c r="B17" s="42"/>
      <c r="C17" s="35"/>
      <c r="D17" s="60"/>
      <c r="E17" s="57"/>
      <c r="F17" s="57"/>
      <c r="G17" s="57"/>
      <c r="H17" s="57"/>
      <c r="I17" s="57"/>
      <c r="J17" s="58"/>
    </row>
    <row r="18" spans="1:10" ht="14.25" customHeight="1" x14ac:dyDescent="0.25">
      <c r="A18" s="33"/>
      <c r="B18" s="42"/>
      <c r="C18" s="35"/>
      <c r="D18" s="60"/>
      <c r="E18" s="57"/>
      <c r="F18" s="57"/>
      <c r="G18" s="57"/>
      <c r="H18" s="57"/>
      <c r="I18" s="57"/>
      <c r="J18" s="58"/>
    </row>
    <row r="19" spans="1:10" ht="14.25" customHeight="1" x14ac:dyDescent="0.25">
      <c r="A19" s="33"/>
      <c r="B19" s="42"/>
      <c r="C19" s="35"/>
      <c r="D19" s="60"/>
      <c r="E19" s="57"/>
      <c r="F19" s="57"/>
      <c r="G19" s="57"/>
      <c r="H19" s="57"/>
      <c r="I19" s="57"/>
      <c r="J19" s="58"/>
    </row>
    <row r="20" spans="1:10" ht="14.25" customHeight="1" x14ac:dyDescent="0.25">
      <c r="A20" s="33"/>
      <c r="B20" s="42"/>
      <c r="C20" s="35"/>
      <c r="D20" s="60"/>
      <c r="E20" s="57"/>
      <c r="F20" s="57"/>
      <c r="G20" s="57"/>
      <c r="H20" s="57"/>
      <c r="I20" s="57"/>
      <c r="J20" s="58"/>
    </row>
    <row r="21" spans="1:10" ht="14.25" customHeight="1" x14ac:dyDescent="0.25">
      <c r="A21" s="33"/>
      <c r="B21" s="42"/>
      <c r="C21" s="35"/>
      <c r="D21" s="60"/>
      <c r="E21" s="57"/>
      <c r="F21" s="57"/>
      <c r="G21" s="57"/>
      <c r="H21" s="57"/>
      <c r="I21" s="57"/>
      <c r="J21" s="58"/>
    </row>
    <row r="22" spans="1:10" ht="14.25" customHeight="1" x14ac:dyDescent="0.25">
      <c r="A22" s="33"/>
      <c r="B22" s="42"/>
      <c r="C22" s="35"/>
      <c r="D22" s="60"/>
      <c r="E22" s="57"/>
      <c r="F22" s="57"/>
      <c r="G22" s="57"/>
      <c r="H22" s="57"/>
      <c r="I22" s="57"/>
      <c r="J22" s="58"/>
    </row>
    <row r="23" spans="1:10" ht="14.25" customHeight="1" x14ac:dyDescent="0.25">
      <c r="A23" s="33"/>
      <c r="B23" s="42"/>
      <c r="C23" s="35"/>
      <c r="D23" s="60"/>
      <c r="E23" s="57"/>
      <c r="F23" s="57"/>
      <c r="G23" s="57"/>
      <c r="H23" s="57"/>
      <c r="I23" s="57"/>
      <c r="J23" s="58"/>
    </row>
    <row r="24" spans="1:10" ht="14.25" customHeight="1" x14ac:dyDescent="0.25">
      <c r="A24" s="33"/>
      <c r="B24" s="42"/>
      <c r="C24" s="35"/>
      <c r="D24" s="60"/>
      <c r="E24" s="57"/>
      <c r="F24" s="57"/>
      <c r="G24" s="57"/>
      <c r="H24" s="57"/>
      <c r="I24" s="57"/>
      <c r="J24" s="58"/>
    </row>
    <row r="25" spans="1:10" ht="14.25" customHeight="1" x14ac:dyDescent="0.25">
      <c r="A25" s="33"/>
      <c r="B25" s="42"/>
      <c r="C25" s="35"/>
      <c r="D25" s="60"/>
      <c r="E25" s="57"/>
      <c r="F25" s="57"/>
      <c r="G25" s="57"/>
      <c r="H25" s="57"/>
      <c r="I25" s="57"/>
      <c r="J25" s="58"/>
    </row>
    <row r="26" spans="1:10" ht="14.25" customHeight="1" x14ac:dyDescent="0.25">
      <c r="A26" s="33"/>
      <c r="B26" s="42"/>
      <c r="C26" s="35"/>
      <c r="D26" s="60"/>
      <c r="E26" s="57"/>
      <c r="F26" s="57"/>
      <c r="G26" s="57"/>
      <c r="H26" s="57"/>
      <c r="I26" s="57"/>
      <c r="J26" s="58"/>
    </row>
    <row r="27" spans="1:10" ht="14.25" customHeight="1" x14ac:dyDescent="0.25">
      <c r="A27" s="33"/>
      <c r="B27" s="42"/>
      <c r="C27" s="35"/>
      <c r="D27" s="60"/>
      <c r="E27" s="57"/>
      <c r="F27" s="57"/>
      <c r="G27" s="57"/>
      <c r="H27" s="57"/>
      <c r="I27" s="57"/>
      <c r="J27" s="58"/>
    </row>
    <row r="28" spans="1:10" ht="14.25" customHeight="1" x14ac:dyDescent="0.25">
      <c r="A28" s="33"/>
      <c r="B28" s="42"/>
      <c r="C28" s="35"/>
      <c r="D28" s="60"/>
      <c r="E28" s="57"/>
      <c r="F28" s="57"/>
      <c r="G28" s="57"/>
      <c r="H28" s="57"/>
      <c r="I28" s="57"/>
      <c r="J28" s="58"/>
    </row>
    <row r="29" spans="1:10" ht="14.25" customHeight="1" x14ac:dyDescent="0.25">
      <c r="A29" s="33"/>
      <c r="B29" s="42"/>
      <c r="C29" s="35"/>
      <c r="D29" s="60"/>
      <c r="E29" s="57"/>
      <c r="F29" s="57"/>
      <c r="G29" s="57"/>
      <c r="H29" s="57"/>
      <c r="I29" s="57"/>
      <c r="J29" s="58"/>
    </row>
    <row r="30" spans="1:10" ht="14.25" customHeight="1" x14ac:dyDescent="0.25">
      <c r="A30" s="33"/>
      <c r="B30" s="42"/>
      <c r="C30" s="35"/>
      <c r="D30" s="60"/>
      <c r="E30" s="57"/>
      <c r="F30" s="57"/>
      <c r="G30" s="57"/>
      <c r="H30" s="57"/>
      <c r="I30" s="57"/>
      <c r="J30" s="58"/>
    </row>
    <row r="31" spans="1:10" ht="14.25" customHeight="1" x14ac:dyDescent="0.25">
      <c r="A31" s="33"/>
      <c r="B31" s="42"/>
      <c r="C31" s="35"/>
      <c r="D31" s="60"/>
      <c r="E31" s="57"/>
      <c r="F31" s="57"/>
      <c r="G31" s="57"/>
      <c r="H31" s="57"/>
      <c r="I31" s="57"/>
      <c r="J31" s="58"/>
    </row>
    <row r="32" spans="1:10" ht="14.25" customHeight="1" x14ac:dyDescent="0.25">
      <c r="A32" s="33"/>
      <c r="B32" s="42"/>
      <c r="C32" s="35"/>
      <c r="D32" s="60"/>
      <c r="E32" s="57"/>
      <c r="F32" s="57"/>
      <c r="G32" s="57"/>
      <c r="H32" s="57"/>
      <c r="I32" s="57"/>
      <c r="J32" s="58"/>
    </row>
    <row r="33" spans="1:12" ht="14.25" customHeight="1" x14ac:dyDescent="0.25">
      <c r="A33" s="33"/>
      <c r="B33" s="42"/>
      <c r="C33" s="35"/>
      <c r="D33" s="60"/>
      <c r="E33" s="57"/>
      <c r="F33" s="57"/>
      <c r="G33" s="57"/>
      <c r="H33" s="57"/>
      <c r="I33" s="57"/>
      <c r="J33" s="58"/>
    </row>
    <row r="34" spans="1:12" ht="14.25" customHeight="1" x14ac:dyDescent="0.25">
      <c r="A34" s="33"/>
      <c r="B34" s="42"/>
      <c r="C34" s="35"/>
      <c r="D34" s="60"/>
      <c r="E34" s="57"/>
      <c r="F34" s="57"/>
      <c r="G34" s="57"/>
      <c r="H34" s="57"/>
      <c r="I34" s="57"/>
      <c r="J34" s="58"/>
    </row>
    <row r="35" spans="1:12" ht="14.25" customHeight="1" x14ac:dyDescent="0.25">
      <c r="A35" s="37">
        <f>SUM(A13:A34)</f>
        <v>0</v>
      </c>
    </row>
    <row r="36" spans="1:12" ht="14.25" customHeight="1" x14ac:dyDescent="0.25">
      <c r="B36" s="59" t="s">
        <v>60</v>
      </c>
      <c r="C36" s="49"/>
      <c r="D36" s="49"/>
      <c r="G36" s="61" t="s">
        <v>61</v>
      </c>
      <c r="H36" s="49"/>
      <c r="I36" s="49"/>
      <c r="J36" s="49"/>
      <c r="L36" s="38" t="s">
        <v>62</v>
      </c>
    </row>
    <row r="37" spans="1:12" ht="14.25" customHeight="1" x14ac:dyDescent="0.25">
      <c r="B37" s="59"/>
      <c r="C37" s="49"/>
      <c r="D37" s="49"/>
    </row>
    <row r="38" spans="1:12" ht="14.25" customHeight="1" x14ac:dyDescent="0.25">
      <c r="B38" s="39"/>
      <c r="C38" s="39"/>
      <c r="D38" s="39"/>
      <c r="G38" s="39"/>
      <c r="H38" s="39"/>
      <c r="I38" s="39"/>
      <c r="J38" s="39"/>
      <c r="L38" s="39"/>
    </row>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4.25" customHeight="1" x14ac:dyDescent="0.25"/>
    <row r="48" spans="1: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0">
    <mergeCell ref="B36:D36"/>
    <mergeCell ref="G36:J36"/>
    <mergeCell ref="B37:D37"/>
    <mergeCell ref="D23:J23"/>
    <mergeCell ref="D24:J24"/>
    <mergeCell ref="D25:J25"/>
    <mergeCell ref="D26:J26"/>
    <mergeCell ref="D27:J27"/>
    <mergeCell ref="D28:J28"/>
    <mergeCell ref="D29:J29"/>
    <mergeCell ref="D30:J30"/>
    <mergeCell ref="D31:J31"/>
    <mergeCell ref="D32:J32"/>
    <mergeCell ref="D33:J33"/>
    <mergeCell ref="D34:J34"/>
    <mergeCell ref="D18:J18"/>
    <mergeCell ref="D19:J19"/>
    <mergeCell ref="D20:J20"/>
    <mergeCell ref="D21:J21"/>
    <mergeCell ref="D22:J22"/>
    <mergeCell ref="D13:J13"/>
    <mergeCell ref="D14:J14"/>
    <mergeCell ref="D15:J15"/>
    <mergeCell ref="D16:J16"/>
    <mergeCell ref="D17:J17"/>
    <mergeCell ref="C6:G6"/>
    <mergeCell ref="C7:G7"/>
    <mergeCell ref="C8:G8"/>
    <mergeCell ref="C9:G9"/>
    <mergeCell ref="D12:J12"/>
    <mergeCell ref="C2:G3"/>
    <mergeCell ref="A4:B4"/>
    <mergeCell ref="C4:G4"/>
    <mergeCell ref="A5:B5"/>
    <mergeCell ref="C5:G5"/>
    <mergeCell ref="A6:B6"/>
    <mergeCell ref="A7:B7"/>
    <mergeCell ref="A8:B8"/>
    <mergeCell ref="A9:B9"/>
    <mergeCell ref="A2:B3"/>
  </mergeCells>
  <pageMargins left="0.39370078740157499" right="0.23622047244094499" top="0.74803149606299202" bottom="0.74803149606299202" header="0" footer="0"/>
  <pageSetup paperSize="9" orientation="landscape"/>
  <headerFooter>
    <oddHeader>&amp;CTimesheet Erasmus+</oddHead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1400-000000000000}">
          <x14:formula1>
            <xm:f>'Drop-down lists'!$D$7:$D$13</xm:f>
          </x14:formula1>
          <xm:sqref>J4:J10 C13:C34</xm:sqref>
        </x14:dataValidation>
        <x14:dataValidation type="list" allowBlank="1" showErrorMessage="1" xr:uid="{00000000-0002-0000-1400-000001000000}">
          <x14:formula1>
            <xm:f>'Drop-down lists'!$H$8:$H$19</xm:f>
          </x14:formula1>
          <xm:sqref>C5</xm:sqref>
        </x14:dataValidation>
        <x14:dataValidation type="list" allowBlank="1" showErrorMessage="1" xr:uid="{00000000-0002-0000-1400-000002000000}">
          <x14:formula1>
            <xm:f>'Drop-down lists'!$L$8:$L$11</xm:f>
          </x14:formula1>
          <xm:sqref>C9</xm:sqref>
        </x14:dataValidation>
        <x14:dataValidation type="list" allowBlank="1" showErrorMessage="1" xr:uid="{00000000-0002-0000-1400-000003000000}">
          <x14:formula1>
            <xm:f>'Drop-down lists'!$J$8:$J$12</xm:f>
          </x14:formula1>
          <xm:sqref>C6</xm:sqref>
        </x14:dataValidation>
        <x14:dataValidation type="list" allowBlank="1" showErrorMessage="1" xr:uid="{00000000-0002-0000-1400-000004000000}">
          <x14:formula1>
            <xm:f>'Drop-down lists'!$L$25:$L$32</xm:f>
          </x14:formula1>
          <xm:sqref>C8</xm:sqref>
        </x14:dataValidation>
        <x14:dataValidation type="list" allowBlank="1" showErrorMessage="1" xr:uid="{00000000-0002-0000-1400-000005000000}">
          <x14:formula1>
            <xm:f>'Drop-down lists'!$F$3:$F$33</xm:f>
          </x14:formula1>
          <xm:sqref>B13:B34</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D1:L1000"/>
  <sheetViews>
    <sheetView workbookViewId="0"/>
  </sheetViews>
  <sheetFormatPr defaultColWidth="14.42578125" defaultRowHeight="15" customHeight="1" x14ac:dyDescent="0.25"/>
  <cols>
    <col min="1" max="3" width="8.85546875" customWidth="1"/>
    <col min="4" max="4" width="35.7109375" customWidth="1"/>
    <col min="5" max="7" width="8.85546875" customWidth="1"/>
    <col min="8" max="8" width="10.85546875" customWidth="1"/>
    <col min="9" max="11" width="8.85546875" customWidth="1"/>
    <col min="12" max="12" width="54.28515625" customWidth="1"/>
    <col min="13" max="26" width="8.85546875" customWidth="1"/>
  </cols>
  <sheetData>
    <row r="1" spans="4:12" ht="14.25" customHeight="1" x14ac:dyDescent="0.25">
      <c r="F1" s="38" t="s">
        <v>80</v>
      </c>
    </row>
    <row r="2" spans="4:12" ht="14.25" customHeight="1" x14ac:dyDescent="0.25">
      <c r="F2" s="38"/>
    </row>
    <row r="3" spans="4:12" ht="14.25" customHeight="1" x14ac:dyDescent="0.25">
      <c r="F3" s="38">
        <v>1</v>
      </c>
    </row>
    <row r="4" spans="4:12" ht="14.25" customHeight="1" x14ac:dyDescent="0.25">
      <c r="F4" s="38">
        <v>2</v>
      </c>
    </row>
    <row r="5" spans="4:12" ht="14.25" customHeight="1" x14ac:dyDescent="0.25">
      <c r="F5" s="38">
        <v>3</v>
      </c>
    </row>
    <row r="6" spans="4:12" ht="14.25" customHeight="1" x14ac:dyDescent="0.25">
      <c r="D6" s="38" t="s">
        <v>46</v>
      </c>
      <c r="F6" s="38">
        <v>4</v>
      </c>
      <c r="H6" s="38" t="s">
        <v>81</v>
      </c>
      <c r="J6" s="38" t="s">
        <v>65</v>
      </c>
      <c r="L6" s="38" t="s">
        <v>17</v>
      </c>
    </row>
    <row r="7" spans="4:12" ht="14.25" customHeight="1" x14ac:dyDescent="0.25">
      <c r="D7" s="38" t="s">
        <v>48</v>
      </c>
      <c r="F7" s="38">
        <v>5</v>
      </c>
      <c r="H7" s="38"/>
      <c r="J7" s="38"/>
      <c r="L7" s="38" t="s">
        <v>82</v>
      </c>
    </row>
    <row r="8" spans="4:12" ht="14.25" customHeight="1" x14ac:dyDescent="0.25">
      <c r="D8" s="38" t="s">
        <v>49</v>
      </c>
      <c r="F8" s="38">
        <v>6</v>
      </c>
      <c r="H8" s="38" t="s">
        <v>64</v>
      </c>
      <c r="J8" s="38">
        <v>2023</v>
      </c>
      <c r="L8" s="38" t="s">
        <v>79</v>
      </c>
    </row>
    <row r="9" spans="4:12" ht="14.25" customHeight="1" x14ac:dyDescent="0.25">
      <c r="D9" s="38" t="s">
        <v>50</v>
      </c>
      <c r="F9" s="38">
        <v>7</v>
      </c>
      <c r="H9" s="38" t="s">
        <v>67</v>
      </c>
      <c r="J9" s="38">
        <v>2024</v>
      </c>
      <c r="L9" s="38" t="s">
        <v>83</v>
      </c>
    </row>
    <row r="10" spans="4:12" ht="14.25" customHeight="1" x14ac:dyDescent="0.25">
      <c r="D10" s="38" t="s">
        <v>52</v>
      </c>
      <c r="F10" s="38">
        <v>8</v>
      </c>
      <c r="H10" s="38" t="s">
        <v>68</v>
      </c>
      <c r="J10" s="38">
        <v>2025</v>
      </c>
      <c r="L10" s="38" t="s">
        <v>84</v>
      </c>
    </row>
    <row r="11" spans="4:12" ht="14.25" customHeight="1" x14ac:dyDescent="0.25">
      <c r="D11" s="38" t="s">
        <v>53</v>
      </c>
      <c r="F11" s="38">
        <v>9</v>
      </c>
      <c r="H11" s="38" t="s">
        <v>69</v>
      </c>
      <c r="J11" s="38"/>
      <c r="L11" s="38" t="s">
        <v>85</v>
      </c>
    </row>
    <row r="12" spans="4:12" ht="14.25" customHeight="1" x14ac:dyDescent="0.25">
      <c r="D12" s="38" t="s">
        <v>55</v>
      </c>
      <c r="F12" s="38">
        <v>10</v>
      </c>
      <c r="H12" s="38" t="s">
        <v>70</v>
      </c>
      <c r="J12" s="38"/>
      <c r="L12" s="38"/>
    </row>
    <row r="13" spans="4:12" ht="14.25" customHeight="1" x14ac:dyDescent="0.25">
      <c r="D13" s="38" t="s">
        <v>56</v>
      </c>
      <c r="F13" s="38">
        <v>11</v>
      </c>
      <c r="H13" s="38" t="s">
        <v>71</v>
      </c>
    </row>
    <row r="14" spans="4:12" ht="14.25" customHeight="1" x14ac:dyDescent="0.25">
      <c r="F14" s="38">
        <v>12</v>
      </c>
      <c r="H14" s="38" t="s">
        <v>72</v>
      </c>
    </row>
    <row r="15" spans="4:12" ht="14.25" customHeight="1" x14ac:dyDescent="0.25">
      <c r="F15" s="38">
        <v>13</v>
      </c>
      <c r="H15" s="38" t="s">
        <v>73</v>
      </c>
    </row>
    <row r="16" spans="4:12" ht="14.25" customHeight="1" x14ac:dyDescent="0.25">
      <c r="F16" s="38">
        <v>14</v>
      </c>
      <c r="H16" s="38" t="s">
        <v>74</v>
      </c>
    </row>
    <row r="17" spans="4:12" ht="14.25" customHeight="1" x14ac:dyDescent="0.25">
      <c r="F17" s="38">
        <v>15</v>
      </c>
      <c r="H17" s="38" t="s">
        <v>75</v>
      </c>
    </row>
    <row r="18" spans="4:12" ht="14.25" customHeight="1" x14ac:dyDescent="0.25">
      <c r="F18" s="38">
        <v>16</v>
      </c>
      <c r="H18" s="38" t="s">
        <v>76</v>
      </c>
    </row>
    <row r="19" spans="4:12" ht="14.25" customHeight="1" x14ac:dyDescent="0.25">
      <c r="F19" s="38">
        <v>17</v>
      </c>
      <c r="H19" s="38" t="s">
        <v>77</v>
      </c>
    </row>
    <row r="20" spans="4:12" ht="14.25" customHeight="1" x14ac:dyDescent="0.25">
      <c r="D20" s="43" t="s">
        <v>86</v>
      </c>
      <c r="F20" s="38">
        <v>18</v>
      </c>
    </row>
    <row r="21" spans="4:12" ht="14.25" customHeight="1" x14ac:dyDescent="0.25">
      <c r="D21" s="44">
        <v>8</v>
      </c>
      <c r="F21" s="38">
        <v>19</v>
      </c>
    </row>
    <row r="22" spans="4:12" ht="14.25" customHeight="1" x14ac:dyDescent="0.25">
      <c r="F22" s="38">
        <v>20</v>
      </c>
    </row>
    <row r="23" spans="4:12" ht="14.25" customHeight="1" x14ac:dyDescent="0.25">
      <c r="F23" s="38">
        <v>21</v>
      </c>
    </row>
    <row r="24" spans="4:12" ht="14.25" customHeight="1" x14ac:dyDescent="0.25">
      <c r="F24" s="38">
        <v>22</v>
      </c>
      <c r="L24" s="45" t="s">
        <v>16</v>
      </c>
    </row>
    <row r="25" spans="4:12" ht="14.25" customHeight="1" x14ac:dyDescent="0.25">
      <c r="F25" s="38">
        <v>23</v>
      </c>
      <c r="L25" s="46" t="s">
        <v>78</v>
      </c>
    </row>
    <row r="26" spans="4:12" ht="14.25" customHeight="1" x14ac:dyDescent="0.25">
      <c r="F26" s="38">
        <v>24</v>
      </c>
      <c r="L26" s="47" t="s">
        <v>87</v>
      </c>
    </row>
    <row r="27" spans="4:12" ht="14.25" customHeight="1" x14ac:dyDescent="0.25">
      <c r="F27" s="38">
        <v>25</v>
      </c>
      <c r="L27" s="46" t="s">
        <v>88</v>
      </c>
    </row>
    <row r="28" spans="4:12" ht="14.25" customHeight="1" x14ac:dyDescent="0.25">
      <c r="F28" s="38">
        <v>26</v>
      </c>
      <c r="L28" s="47" t="s">
        <v>89</v>
      </c>
    </row>
    <row r="29" spans="4:12" ht="14.25" customHeight="1" x14ac:dyDescent="0.25">
      <c r="F29" s="38">
        <v>27</v>
      </c>
      <c r="L29" s="46" t="s">
        <v>90</v>
      </c>
    </row>
    <row r="30" spans="4:12" ht="14.25" customHeight="1" x14ac:dyDescent="0.25">
      <c r="F30" s="38">
        <v>28</v>
      </c>
      <c r="L30" s="47" t="s">
        <v>91</v>
      </c>
    </row>
    <row r="31" spans="4:12" ht="14.25" customHeight="1" x14ac:dyDescent="0.25">
      <c r="F31" s="38">
        <v>29</v>
      </c>
      <c r="L31" s="46" t="s">
        <v>92</v>
      </c>
    </row>
    <row r="32" spans="4:12" ht="14.25" customHeight="1" x14ac:dyDescent="0.25">
      <c r="F32" s="38">
        <v>30</v>
      </c>
      <c r="L32" s="47" t="s">
        <v>93</v>
      </c>
    </row>
    <row r="33" spans="6:6" ht="14.25" customHeight="1" x14ac:dyDescent="0.25">
      <c r="F33" s="38">
        <v>31</v>
      </c>
    </row>
    <row r="34" spans="6:6" ht="14.25" customHeight="1" x14ac:dyDescent="0.25"/>
    <row r="35" spans="6:6" ht="14.25" customHeight="1" x14ac:dyDescent="0.25"/>
    <row r="36" spans="6:6" ht="14.25" customHeight="1" x14ac:dyDescent="0.25"/>
    <row r="37" spans="6:6" ht="14.25" customHeight="1" x14ac:dyDescent="0.25"/>
    <row r="38" spans="6:6" ht="14.25" customHeight="1" x14ac:dyDescent="0.25"/>
    <row r="39" spans="6:6" ht="14.25" customHeight="1" x14ac:dyDescent="0.25"/>
    <row r="40" spans="6:6" ht="14.25" customHeight="1" x14ac:dyDescent="0.25"/>
    <row r="41" spans="6:6" ht="14.25" customHeight="1" x14ac:dyDescent="0.25"/>
    <row r="42" spans="6:6" ht="14.25" customHeight="1" x14ac:dyDescent="0.25"/>
    <row r="43" spans="6:6" ht="14.25" customHeight="1" x14ac:dyDescent="0.25"/>
    <row r="44" spans="6:6" ht="14.25" customHeight="1" x14ac:dyDescent="0.25"/>
    <row r="45" spans="6:6" ht="14.25" customHeight="1" x14ac:dyDescent="0.25"/>
    <row r="46" spans="6:6" ht="14.25" customHeight="1" x14ac:dyDescent="0.25"/>
    <row r="47" spans="6:6" ht="14.25" customHeight="1" x14ac:dyDescent="0.25"/>
    <row r="48" spans="6:6"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L24:L32" xr:uid="{00000000-0009-0000-0000-000015000000}"/>
  <dataValidations count="5">
    <dataValidation type="list" allowBlank="1" showErrorMessage="1" sqref="J10" xr:uid="{00000000-0002-0000-1500-000000000000}">
      <formula1>"2020,2021,2022,2023,2025"</formula1>
    </dataValidation>
    <dataValidation type="list" allowBlank="1" showErrorMessage="1" sqref="J7:J9 J11:J12" xr:uid="{00000000-0002-0000-1500-000001000000}">
      <formula1>"2020,2021,2022,2023"</formula1>
    </dataValidation>
    <dataValidation type="list" allowBlank="1" showErrorMessage="1" sqref="L6" xr:uid="{00000000-0002-0000-1500-000002000000}">
      <formula1>$L$7:$L$11</formula1>
    </dataValidation>
    <dataValidation type="list" allowBlank="1" showErrorMessage="1" sqref="D6" xr:uid="{00000000-0002-0000-1500-000003000000}">
      <formula1>$D$7:$D$11</formula1>
    </dataValidation>
    <dataValidation type="list" allowBlank="1" showErrorMessage="1" sqref="L24" xr:uid="{00000000-0002-0000-1500-000004000000}">
      <formula1>$L$25:$L$31</formula1>
    </dataValidation>
  </dataValidations>
  <pageMargins left="0.7" right="0.7" top="0.75" bottom="0.75" header="0" footer="0"/>
  <pageSetup paperSize="9" orientation="portrait"/>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Read me first</vt:lpstr>
      <vt:lpstr>Summary</vt:lpstr>
      <vt:lpstr>timesheet</vt:lpstr>
      <vt:lpstr>January23</vt:lpstr>
      <vt:lpstr>February23</vt:lpstr>
      <vt:lpstr>March23</vt:lpstr>
      <vt:lpstr>April23</vt:lpstr>
      <vt:lpstr>May23</vt:lpstr>
      <vt:lpstr>June23</vt:lpstr>
      <vt:lpstr>July23</vt:lpstr>
      <vt:lpstr>August23</vt:lpstr>
      <vt:lpstr>September23</vt:lpstr>
      <vt:lpstr>October23</vt:lpstr>
      <vt:lpstr>November23</vt:lpstr>
      <vt:lpstr>December23</vt:lpstr>
      <vt:lpstr>January24</vt:lpstr>
      <vt:lpstr>February24</vt:lpstr>
      <vt:lpstr>March24</vt:lpstr>
      <vt:lpstr>April24</vt:lpstr>
      <vt:lpstr>May24</vt:lpstr>
      <vt:lpstr>June24</vt:lpstr>
      <vt:lpstr>Drop-down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HIRWA Jean Luc</cp:lastModifiedBy>
  <dcterms:created xsi:type="dcterms:W3CDTF">2006-09-16T00:00:00Z</dcterms:created>
  <dcterms:modified xsi:type="dcterms:W3CDTF">2024-08-21T10:24:41Z</dcterms:modified>
</cp:coreProperties>
</file>