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92"/>
  </bookViews>
  <sheets>
    <sheet name="Expenses report" sheetId="1" r:id="rId1"/>
    <sheet name="Exch. rate" sheetId="2" r:id="rId2"/>
    <sheet name="Drop-down" sheetId="3" r:id="rId3"/>
  </sheets>
  <calcPr calcId="162913"/>
  <extLst>
    <ext uri="GoogleSheetsCustomDataVersion2">
      <go:sheetsCustomData xmlns:go="http://customooxmlschemas.google.com/" r:id="rId7" roundtripDataChecksum="PvrMqPn8eWJUPtqG1/HHjjzN02sajfj+gP2zN6yX0uA="/>
    </ext>
  </extLst>
</workbook>
</file>

<file path=xl/calcChain.xml><?xml version="1.0" encoding="utf-8"?>
<calcChain xmlns="http://schemas.openxmlformats.org/spreadsheetml/2006/main">
  <c r="G17" i="1" l="1"/>
  <c r="G18" i="1"/>
  <c r="M352" i="1"/>
  <c r="G352" i="1"/>
  <c r="F352" i="1"/>
  <c r="M351" i="1"/>
  <c r="F351" i="1"/>
  <c r="G351" i="1" s="1"/>
  <c r="M350" i="1"/>
  <c r="F350" i="1"/>
  <c r="G350" i="1" s="1"/>
  <c r="M349" i="1"/>
  <c r="F349" i="1"/>
  <c r="G349" i="1" s="1"/>
  <c r="M348" i="1"/>
  <c r="F348" i="1"/>
  <c r="G348" i="1" s="1"/>
  <c r="M347" i="1"/>
  <c r="F347" i="1"/>
  <c r="G347" i="1" s="1"/>
  <c r="M346" i="1"/>
  <c r="F346" i="1"/>
  <c r="G346" i="1" s="1"/>
  <c r="M345" i="1"/>
  <c r="F345" i="1"/>
  <c r="G345" i="1" s="1"/>
  <c r="M344" i="1"/>
  <c r="F344" i="1"/>
  <c r="G344" i="1" s="1"/>
  <c r="M343" i="1"/>
  <c r="F343" i="1"/>
  <c r="G343" i="1" s="1"/>
  <c r="M342" i="1"/>
  <c r="F342" i="1"/>
  <c r="G342" i="1" s="1"/>
  <c r="M341" i="1"/>
  <c r="F341" i="1"/>
  <c r="G341" i="1" s="1"/>
  <c r="M340" i="1"/>
  <c r="F340" i="1"/>
  <c r="G340" i="1" s="1"/>
  <c r="M339" i="1"/>
  <c r="F339" i="1"/>
  <c r="G339" i="1" s="1"/>
  <c r="M338" i="1"/>
  <c r="F338" i="1"/>
  <c r="G338" i="1" s="1"/>
  <c r="M337" i="1"/>
  <c r="F337" i="1"/>
  <c r="G337" i="1" s="1"/>
  <c r="M336" i="1"/>
  <c r="G336" i="1"/>
  <c r="F336" i="1"/>
  <c r="M335" i="1"/>
  <c r="F335" i="1"/>
  <c r="G335" i="1" s="1"/>
  <c r="M334" i="1"/>
  <c r="F334" i="1"/>
  <c r="G334" i="1" s="1"/>
  <c r="M333" i="1"/>
  <c r="F333" i="1"/>
  <c r="G333" i="1" s="1"/>
  <c r="M332" i="1"/>
  <c r="F332" i="1"/>
  <c r="G332" i="1" s="1"/>
  <c r="M331" i="1"/>
  <c r="F331" i="1"/>
  <c r="G331" i="1" s="1"/>
  <c r="M330" i="1"/>
  <c r="F330" i="1"/>
  <c r="G330" i="1" s="1"/>
  <c r="M329" i="1"/>
  <c r="G329" i="1"/>
  <c r="F329" i="1"/>
  <c r="M328" i="1"/>
  <c r="G328" i="1"/>
  <c r="F328" i="1"/>
  <c r="M327" i="1"/>
  <c r="F327" i="1"/>
  <c r="G327" i="1" s="1"/>
  <c r="M326" i="1"/>
  <c r="F326" i="1"/>
  <c r="G326" i="1" s="1"/>
  <c r="M325" i="1"/>
  <c r="F325" i="1"/>
  <c r="G325" i="1" s="1"/>
  <c r="M324" i="1"/>
  <c r="F324" i="1"/>
  <c r="G324" i="1" s="1"/>
  <c r="M323" i="1"/>
  <c r="F323" i="1"/>
  <c r="G323" i="1" s="1"/>
  <c r="M322" i="1"/>
  <c r="F322" i="1"/>
  <c r="G322" i="1" s="1"/>
  <c r="M321" i="1"/>
  <c r="F321" i="1"/>
  <c r="G321" i="1" s="1"/>
  <c r="M320" i="1"/>
  <c r="F320" i="1"/>
  <c r="G320" i="1" s="1"/>
  <c r="M319" i="1"/>
  <c r="F319" i="1"/>
  <c r="G319" i="1" s="1"/>
  <c r="M318" i="1"/>
  <c r="F318" i="1"/>
  <c r="G318" i="1" s="1"/>
  <c r="M317" i="1"/>
  <c r="F317" i="1"/>
  <c r="G317" i="1" s="1"/>
  <c r="M316" i="1"/>
  <c r="F316" i="1"/>
  <c r="G316" i="1" s="1"/>
  <c r="M315" i="1"/>
  <c r="F315" i="1"/>
  <c r="G315" i="1" s="1"/>
  <c r="M314" i="1"/>
  <c r="F314" i="1"/>
  <c r="G314" i="1" s="1"/>
  <c r="M313" i="1"/>
  <c r="F313" i="1"/>
  <c r="G313" i="1" s="1"/>
  <c r="M312" i="1"/>
  <c r="G312" i="1"/>
  <c r="F312" i="1"/>
  <c r="M311" i="1"/>
  <c r="F311" i="1"/>
  <c r="G311" i="1" s="1"/>
  <c r="M310" i="1"/>
  <c r="F310" i="1"/>
  <c r="G310" i="1" s="1"/>
  <c r="M309" i="1"/>
  <c r="G309" i="1"/>
  <c r="F309" i="1"/>
  <c r="M308" i="1"/>
  <c r="F308" i="1"/>
  <c r="G308" i="1" s="1"/>
  <c r="M307" i="1"/>
  <c r="F307" i="1"/>
  <c r="G307" i="1" s="1"/>
  <c r="M306" i="1"/>
  <c r="F306" i="1"/>
  <c r="G306" i="1" s="1"/>
  <c r="M305" i="1"/>
  <c r="G305" i="1"/>
  <c r="F305" i="1"/>
  <c r="M304" i="1"/>
  <c r="G304" i="1"/>
  <c r="F304" i="1"/>
  <c r="M303" i="1"/>
  <c r="F303" i="1"/>
  <c r="G303" i="1" s="1"/>
  <c r="M302" i="1"/>
  <c r="F302" i="1"/>
  <c r="G302" i="1" s="1"/>
  <c r="M301" i="1"/>
  <c r="F301" i="1"/>
  <c r="G301" i="1" s="1"/>
  <c r="M300" i="1"/>
  <c r="F300" i="1"/>
  <c r="G300" i="1" s="1"/>
  <c r="M299" i="1"/>
  <c r="F299" i="1"/>
  <c r="G299" i="1" s="1"/>
  <c r="M298" i="1"/>
  <c r="F298" i="1"/>
  <c r="G298" i="1" s="1"/>
  <c r="M297" i="1"/>
  <c r="F297" i="1"/>
  <c r="G297" i="1" s="1"/>
  <c r="M296" i="1"/>
  <c r="F296" i="1"/>
  <c r="G296" i="1" s="1"/>
  <c r="M295" i="1"/>
  <c r="F295" i="1"/>
  <c r="G295" i="1" s="1"/>
  <c r="M294" i="1"/>
  <c r="F294" i="1"/>
  <c r="G294" i="1" s="1"/>
  <c r="M293" i="1"/>
  <c r="F293" i="1"/>
  <c r="G293" i="1" s="1"/>
  <c r="M292" i="1"/>
  <c r="F292" i="1"/>
  <c r="G292" i="1" s="1"/>
  <c r="M291" i="1"/>
  <c r="F291" i="1"/>
  <c r="G291" i="1" s="1"/>
  <c r="M290" i="1"/>
  <c r="F290" i="1"/>
  <c r="G290" i="1" s="1"/>
  <c r="M289" i="1"/>
  <c r="F289" i="1"/>
  <c r="G289" i="1" s="1"/>
  <c r="M288" i="1"/>
  <c r="G288" i="1"/>
  <c r="F288" i="1"/>
  <c r="M287" i="1"/>
  <c r="F287" i="1"/>
  <c r="G287" i="1" s="1"/>
  <c r="M286" i="1"/>
  <c r="F286" i="1"/>
  <c r="G286" i="1" s="1"/>
  <c r="M285" i="1"/>
  <c r="G285" i="1"/>
  <c r="F285" i="1"/>
  <c r="M284" i="1"/>
  <c r="F284" i="1"/>
  <c r="G284" i="1" s="1"/>
  <c r="M283" i="1"/>
  <c r="F283" i="1"/>
  <c r="G283" i="1" s="1"/>
  <c r="M282" i="1"/>
  <c r="F282" i="1"/>
  <c r="G282" i="1" s="1"/>
  <c r="M281" i="1"/>
  <c r="G281" i="1"/>
  <c r="F281" i="1"/>
  <c r="M280" i="1"/>
  <c r="G280" i="1"/>
  <c r="F280" i="1"/>
  <c r="M279" i="1"/>
  <c r="F279" i="1"/>
  <c r="G279" i="1" s="1"/>
  <c r="M278" i="1"/>
  <c r="F278" i="1"/>
  <c r="G278" i="1" s="1"/>
  <c r="M277" i="1"/>
  <c r="F277" i="1"/>
  <c r="G277" i="1" s="1"/>
  <c r="M276" i="1"/>
  <c r="F276" i="1"/>
  <c r="G276" i="1" s="1"/>
  <c r="M275" i="1"/>
  <c r="F275" i="1"/>
  <c r="G275" i="1" s="1"/>
  <c r="M274" i="1"/>
  <c r="F274" i="1"/>
  <c r="G274" i="1" s="1"/>
  <c r="M273" i="1"/>
  <c r="F273" i="1"/>
  <c r="G273" i="1" s="1"/>
  <c r="M272" i="1"/>
  <c r="F272" i="1"/>
  <c r="G272" i="1" s="1"/>
  <c r="M271" i="1"/>
  <c r="F271" i="1"/>
  <c r="G271" i="1" s="1"/>
  <c r="M270" i="1"/>
  <c r="F270" i="1"/>
  <c r="G270" i="1" s="1"/>
  <c r="M269" i="1"/>
  <c r="F269" i="1"/>
  <c r="G269" i="1" s="1"/>
  <c r="M268" i="1"/>
  <c r="F268" i="1"/>
  <c r="G268" i="1" s="1"/>
  <c r="M267" i="1"/>
  <c r="F267" i="1"/>
  <c r="G267" i="1" s="1"/>
  <c r="M266" i="1"/>
  <c r="F266" i="1"/>
  <c r="G266" i="1" s="1"/>
  <c r="M265" i="1"/>
  <c r="F265" i="1"/>
  <c r="G265" i="1" s="1"/>
  <c r="M264" i="1"/>
  <c r="G264" i="1"/>
  <c r="F264" i="1"/>
  <c r="M263" i="1"/>
  <c r="F263" i="1"/>
  <c r="G263" i="1" s="1"/>
  <c r="M262" i="1"/>
  <c r="F262" i="1"/>
  <c r="G262" i="1" s="1"/>
  <c r="M261" i="1"/>
  <c r="G261" i="1"/>
  <c r="F261" i="1"/>
  <c r="M260" i="1"/>
  <c r="F260" i="1"/>
  <c r="G260" i="1" s="1"/>
  <c r="M259" i="1"/>
  <c r="F259" i="1"/>
  <c r="G259" i="1" s="1"/>
  <c r="M258" i="1"/>
  <c r="F258" i="1"/>
  <c r="G258" i="1" s="1"/>
  <c r="M257" i="1"/>
  <c r="G257" i="1"/>
  <c r="F257" i="1"/>
  <c r="M256" i="1"/>
  <c r="G256" i="1"/>
  <c r="F256" i="1"/>
  <c r="M255" i="1"/>
  <c r="F255" i="1"/>
  <c r="G255" i="1" s="1"/>
  <c r="M254" i="1"/>
  <c r="F254" i="1"/>
  <c r="G254" i="1" s="1"/>
  <c r="M253" i="1"/>
  <c r="F253" i="1"/>
  <c r="G253" i="1" s="1"/>
  <c r="M252" i="1"/>
  <c r="F252" i="1"/>
  <c r="G252" i="1" s="1"/>
  <c r="M251" i="1"/>
  <c r="F251" i="1"/>
  <c r="G251" i="1" s="1"/>
  <c r="M250" i="1"/>
  <c r="F250" i="1"/>
  <c r="G250" i="1" s="1"/>
  <c r="M249" i="1"/>
  <c r="F249" i="1"/>
  <c r="G249" i="1" s="1"/>
  <c r="M248" i="1"/>
  <c r="F248" i="1"/>
  <c r="G248" i="1" s="1"/>
  <c r="M247" i="1"/>
  <c r="F247" i="1"/>
  <c r="G247" i="1" s="1"/>
  <c r="M246" i="1"/>
  <c r="F246" i="1"/>
  <c r="G246" i="1" s="1"/>
  <c r="M245" i="1"/>
  <c r="F245" i="1"/>
  <c r="G245" i="1" s="1"/>
  <c r="M244" i="1"/>
  <c r="F244" i="1"/>
  <c r="G244" i="1" s="1"/>
  <c r="M243" i="1"/>
  <c r="F243" i="1"/>
  <c r="G243" i="1" s="1"/>
  <c r="M242" i="1"/>
  <c r="F242" i="1"/>
  <c r="G242" i="1" s="1"/>
  <c r="M241" i="1"/>
  <c r="F241" i="1"/>
  <c r="G241" i="1" s="1"/>
  <c r="M240" i="1"/>
  <c r="G240" i="1"/>
  <c r="F240" i="1"/>
  <c r="M239" i="1"/>
  <c r="F239" i="1"/>
  <c r="G239" i="1" s="1"/>
  <c r="M238" i="1"/>
  <c r="F238" i="1"/>
  <c r="G238" i="1" s="1"/>
  <c r="M237" i="1"/>
  <c r="G237" i="1"/>
  <c r="F237" i="1"/>
  <c r="M236" i="1"/>
  <c r="F236" i="1"/>
  <c r="G236" i="1" s="1"/>
  <c r="M235" i="1"/>
  <c r="F235" i="1"/>
  <c r="G235" i="1" s="1"/>
  <c r="M234" i="1"/>
  <c r="F234" i="1"/>
  <c r="G234" i="1" s="1"/>
  <c r="M233" i="1"/>
  <c r="G233" i="1"/>
  <c r="F233" i="1"/>
  <c r="M232" i="1"/>
  <c r="G232" i="1"/>
  <c r="F232" i="1"/>
  <c r="M231" i="1"/>
  <c r="F231" i="1"/>
  <c r="G231" i="1" s="1"/>
  <c r="M230" i="1"/>
  <c r="F230" i="1"/>
  <c r="G230" i="1" s="1"/>
  <c r="M229" i="1"/>
  <c r="F229" i="1"/>
  <c r="G229" i="1" s="1"/>
  <c r="M228" i="1"/>
  <c r="F228" i="1"/>
  <c r="G228" i="1" s="1"/>
  <c r="M227" i="1"/>
  <c r="F227" i="1"/>
  <c r="G227" i="1" s="1"/>
  <c r="M226" i="1"/>
  <c r="F226" i="1"/>
  <c r="G226" i="1" s="1"/>
  <c r="M225" i="1"/>
  <c r="F225" i="1"/>
  <c r="G225" i="1" s="1"/>
  <c r="M224" i="1"/>
  <c r="F224" i="1"/>
  <c r="G224" i="1" s="1"/>
  <c r="M223" i="1"/>
  <c r="F223" i="1"/>
  <c r="G223" i="1" s="1"/>
  <c r="M222" i="1"/>
  <c r="F222" i="1"/>
  <c r="G222" i="1" s="1"/>
  <c r="M221" i="1"/>
  <c r="F221" i="1"/>
  <c r="G221" i="1" s="1"/>
  <c r="M220" i="1"/>
  <c r="F220" i="1"/>
  <c r="G220" i="1" s="1"/>
  <c r="M219" i="1"/>
  <c r="F219" i="1"/>
  <c r="G219" i="1" s="1"/>
  <c r="M218" i="1"/>
  <c r="F218" i="1"/>
  <c r="G218" i="1" s="1"/>
  <c r="M217" i="1"/>
  <c r="F217" i="1"/>
  <c r="G217" i="1" s="1"/>
  <c r="M216" i="1"/>
  <c r="G216" i="1"/>
  <c r="F216" i="1"/>
  <c r="M215" i="1"/>
  <c r="F215" i="1"/>
  <c r="G215" i="1" s="1"/>
  <c r="M214" i="1"/>
  <c r="F214" i="1"/>
  <c r="G214" i="1" s="1"/>
  <c r="M213" i="1"/>
  <c r="G213" i="1"/>
  <c r="F213" i="1"/>
  <c r="M212" i="1"/>
  <c r="F212" i="1"/>
  <c r="G212" i="1" s="1"/>
  <c r="M211" i="1"/>
  <c r="F211" i="1"/>
  <c r="G211" i="1" s="1"/>
  <c r="M210" i="1"/>
  <c r="F210" i="1"/>
  <c r="G210" i="1" s="1"/>
  <c r="M209" i="1"/>
  <c r="G209" i="1"/>
  <c r="F209" i="1"/>
  <c r="M208" i="1"/>
  <c r="G208" i="1"/>
  <c r="F208" i="1"/>
  <c r="M207" i="1"/>
  <c r="F207" i="1"/>
  <c r="G207" i="1" s="1"/>
  <c r="M206" i="1"/>
  <c r="F206" i="1"/>
  <c r="G206" i="1" s="1"/>
  <c r="M205" i="1"/>
  <c r="F205" i="1"/>
  <c r="G205" i="1" s="1"/>
  <c r="M204" i="1"/>
  <c r="F204" i="1"/>
  <c r="G204" i="1" s="1"/>
  <c r="M203" i="1"/>
  <c r="F203" i="1"/>
  <c r="G203" i="1" s="1"/>
  <c r="M202" i="1"/>
  <c r="F202" i="1"/>
  <c r="G202" i="1" s="1"/>
  <c r="M201" i="1"/>
  <c r="F201" i="1"/>
  <c r="G201" i="1" s="1"/>
  <c r="M200" i="1"/>
  <c r="F200" i="1"/>
  <c r="G200" i="1" s="1"/>
  <c r="M199" i="1"/>
  <c r="F199" i="1"/>
  <c r="G199" i="1" s="1"/>
  <c r="M198" i="1"/>
  <c r="F198" i="1"/>
  <c r="G198" i="1" s="1"/>
  <c r="M197" i="1"/>
  <c r="F197" i="1"/>
  <c r="G197" i="1" s="1"/>
  <c r="M196" i="1"/>
  <c r="F196" i="1"/>
  <c r="G196" i="1" s="1"/>
  <c r="M195" i="1"/>
  <c r="F195" i="1"/>
  <c r="G195" i="1" s="1"/>
  <c r="M194" i="1"/>
  <c r="F194" i="1"/>
  <c r="G194" i="1" s="1"/>
  <c r="M193" i="1"/>
  <c r="F193" i="1"/>
  <c r="G193" i="1" s="1"/>
  <c r="M192" i="1"/>
  <c r="G192" i="1"/>
  <c r="F192" i="1"/>
  <c r="M191" i="1"/>
  <c r="F191" i="1"/>
  <c r="G191" i="1" s="1"/>
  <c r="M190" i="1"/>
  <c r="F190" i="1"/>
  <c r="G190" i="1" s="1"/>
  <c r="M189" i="1"/>
  <c r="G189" i="1"/>
  <c r="F189" i="1"/>
  <c r="M188" i="1"/>
  <c r="F188" i="1"/>
  <c r="G188" i="1" s="1"/>
  <c r="M187" i="1"/>
  <c r="F187" i="1"/>
  <c r="G187" i="1" s="1"/>
  <c r="M186" i="1"/>
  <c r="F186" i="1"/>
  <c r="G186" i="1" s="1"/>
  <c r="M185" i="1"/>
  <c r="G185" i="1"/>
  <c r="F185" i="1"/>
  <c r="M184" i="1"/>
  <c r="G184" i="1"/>
  <c r="F184" i="1"/>
  <c r="M183" i="1"/>
  <c r="F183" i="1"/>
  <c r="G183" i="1" s="1"/>
  <c r="M182" i="1"/>
  <c r="F182" i="1"/>
  <c r="G182" i="1" s="1"/>
  <c r="M181" i="1"/>
  <c r="F181" i="1"/>
  <c r="G181" i="1" s="1"/>
  <c r="M180" i="1"/>
  <c r="F180" i="1"/>
  <c r="G180" i="1" s="1"/>
  <c r="M179" i="1"/>
  <c r="F179" i="1"/>
  <c r="G179" i="1" s="1"/>
  <c r="M178" i="1"/>
  <c r="F178" i="1"/>
  <c r="G178" i="1" s="1"/>
  <c r="M177" i="1"/>
  <c r="F177" i="1"/>
  <c r="G177" i="1" s="1"/>
  <c r="M176" i="1"/>
  <c r="F176" i="1"/>
  <c r="G176" i="1" s="1"/>
  <c r="M175" i="1"/>
  <c r="F175" i="1"/>
  <c r="G175" i="1" s="1"/>
  <c r="M174" i="1"/>
  <c r="F174" i="1"/>
  <c r="G174" i="1" s="1"/>
  <c r="M173" i="1"/>
  <c r="F173" i="1"/>
  <c r="G173" i="1" s="1"/>
  <c r="M172" i="1"/>
  <c r="F172" i="1"/>
  <c r="G172" i="1" s="1"/>
  <c r="M171" i="1"/>
  <c r="F171" i="1"/>
  <c r="G171" i="1" s="1"/>
  <c r="M170" i="1"/>
  <c r="F170" i="1"/>
  <c r="G170" i="1" s="1"/>
  <c r="M169" i="1"/>
  <c r="F169" i="1"/>
  <c r="G169" i="1" s="1"/>
  <c r="M168" i="1"/>
  <c r="G168" i="1"/>
  <c r="F168" i="1"/>
  <c r="M167" i="1"/>
  <c r="F167" i="1"/>
  <c r="G167" i="1" s="1"/>
  <c r="M166" i="1"/>
  <c r="F166" i="1"/>
  <c r="G166" i="1" s="1"/>
  <c r="M165" i="1"/>
  <c r="G165" i="1"/>
  <c r="F165" i="1"/>
  <c r="M164" i="1"/>
  <c r="F164" i="1"/>
  <c r="G164" i="1" s="1"/>
  <c r="M163" i="1"/>
  <c r="F163" i="1"/>
  <c r="G163" i="1" s="1"/>
  <c r="M162" i="1"/>
  <c r="F162" i="1"/>
  <c r="G162" i="1" s="1"/>
  <c r="M161" i="1"/>
  <c r="G161" i="1"/>
  <c r="F161" i="1"/>
  <c r="M160" i="1"/>
  <c r="G160" i="1"/>
  <c r="F160" i="1"/>
  <c r="M159" i="1"/>
  <c r="F159" i="1"/>
  <c r="G159" i="1" s="1"/>
  <c r="M158" i="1"/>
  <c r="F158" i="1"/>
  <c r="G158" i="1" s="1"/>
  <c r="M157" i="1"/>
  <c r="F157" i="1"/>
  <c r="G157" i="1" s="1"/>
  <c r="M156" i="1"/>
  <c r="F156" i="1"/>
  <c r="G156" i="1" s="1"/>
  <c r="M155" i="1"/>
  <c r="F155" i="1"/>
  <c r="G155" i="1" s="1"/>
  <c r="M154" i="1"/>
  <c r="F154" i="1"/>
  <c r="G154" i="1" s="1"/>
  <c r="M153" i="1"/>
  <c r="F153" i="1"/>
  <c r="G153" i="1" s="1"/>
  <c r="M152" i="1"/>
  <c r="F152" i="1"/>
  <c r="G152" i="1" s="1"/>
  <c r="M151" i="1"/>
  <c r="F151" i="1"/>
  <c r="G151" i="1" s="1"/>
  <c r="M150" i="1"/>
  <c r="F150" i="1"/>
  <c r="G150" i="1" s="1"/>
  <c r="M149" i="1"/>
  <c r="F149" i="1"/>
  <c r="G149" i="1" s="1"/>
  <c r="M148" i="1"/>
  <c r="F148" i="1"/>
  <c r="G148" i="1" s="1"/>
  <c r="M147" i="1"/>
  <c r="F147" i="1"/>
  <c r="G147" i="1" s="1"/>
  <c r="M146" i="1"/>
  <c r="F146" i="1"/>
  <c r="G146" i="1" s="1"/>
  <c r="M145" i="1"/>
  <c r="F145" i="1"/>
  <c r="G145" i="1" s="1"/>
  <c r="M144" i="1"/>
  <c r="G144" i="1"/>
  <c r="F144" i="1"/>
  <c r="M143" i="1"/>
  <c r="F143" i="1"/>
  <c r="G143" i="1" s="1"/>
  <c r="M142" i="1"/>
  <c r="F142" i="1"/>
  <c r="G142" i="1" s="1"/>
  <c r="M141" i="1"/>
  <c r="G141" i="1"/>
  <c r="F141" i="1"/>
  <c r="M140" i="1"/>
  <c r="F140" i="1"/>
  <c r="G140" i="1" s="1"/>
  <c r="M139" i="1"/>
  <c r="F139" i="1"/>
  <c r="G139" i="1" s="1"/>
  <c r="M138" i="1"/>
  <c r="F138" i="1"/>
  <c r="G138" i="1" s="1"/>
  <c r="M137" i="1"/>
  <c r="G137" i="1"/>
  <c r="F137" i="1"/>
  <c r="M136" i="1"/>
  <c r="G136" i="1"/>
  <c r="F136" i="1"/>
  <c r="M135" i="1"/>
  <c r="F135" i="1"/>
  <c r="G135" i="1" s="1"/>
  <c r="M134" i="1"/>
  <c r="F134" i="1"/>
  <c r="G134" i="1" s="1"/>
  <c r="M133" i="1"/>
  <c r="F133" i="1"/>
  <c r="G133" i="1" s="1"/>
  <c r="M132" i="1"/>
  <c r="F132" i="1"/>
  <c r="G132" i="1" s="1"/>
  <c r="M131" i="1"/>
  <c r="F131" i="1"/>
  <c r="G131" i="1" s="1"/>
  <c r="M130" i="1"/>
  <c r="F130" i="1"/>
  <c r="G130" i="1" s="1"/>
  <c r="M129" i="1"/>
  <c r="F129" i="1"/>
  <c r="G129" i="1" s="1"/>
  <c r="M128" i="1"/>
  <c r="F128" i="1"/>
  <c r="G128" i="1" s="1"/>
  <c r="M127" i="1"/>
  <c r="F127" i="1"/>
  <c r="G127" i="1" s="1"/>
  <c r="M126" i="1"/>
  <c r="F126" i="1"/>
  <c r="G126" i="1" s="1"/>
  <c r="M125" i="1"/>
  <c r="F125" i="1"/>
  <c r="G125" i="1" s="1"/>
  <c r="M124" i="1"/>
  <c r="F124" i="1"/>
  <c r="G124" i="1" s="1"/>
  <c r="M123" i="1"/>
  <c r="F123" i="1"/>
  <c r="G123" i="1" s="1"/>
  <c r="M122" i="1"/>
  <c r="F122" i="1"/>
  <c r="G122" i="1" s="1"/>
  <c r="M121" i="1"/>
  <c r="G121" i="1"/>
  <c r="F121" i="1"/>
  <c r="M120" i="1"/>
  <c r="G120" i="1"/>
  <c r="F120" i="1"/>
  <c r="M119" i="1"/>
  <c r="F119" i="1"/>
  <c r="G119" i="1" s="1"/>
  <c r="M118" i="1"/>
  <c r="F118" i="1"/>
  <c r="G118" i="1" s="1"/>
  <c r="M117" i="1"/>
  <c r="G117" i="1"/>
  <c r="F117" i="1"/>
  <c r="M116" i="1"/>
  <c r="F116" i="1"/>
  <c r="G116" i="1" s="1"/>
  <c r="M115" i="1"/>
  <c r="F115" i="1"/>
  <c r="G115" i="1" s="1"/>
  <c r="M114" i="1"/>
  <c r="F114" i="1"/>
  <c r="G114" i="1" s="1"/>
  <c r="M113" i="1"/>
  <c r="G113" i="1"/>
  <c r="F113" i="1"/>
  <c r="M112" i="1"/>
  <c r="G112" i="1"/>
  <c r="F112" i="1"/>
  <c r="M111" i="1"/>
  <c r="F111" i="1"/>
  <c r="G111" i="1" s="1"/>
  <c r="M110" i="1"/>
  <c r="F110" i="1"/>
  <c r="G110" i="1" s="1"/>
  <c r="M109" i="1"/>
  <c r="F109" i="1"/>
  <c r="G109" i="1" s="1"/>
  <c r="M108" i="1"/>
  <c r="F108" i="1"/>
  <c r="G108" i="1" s="1"/>
  <c r="M107" i="1"/>
  <c r="F107" i="1"/>
  <c r="G107" i="1" s="1"/>
  <c r="M106" i="1"/>
  <c r="F106" i="1"/>
  <c r="G106" i="1" s="1"/>
  <c r="M105" i="1"/>
  <c r="F105" i="1"/>
  <c r="G105" i="1" s="1"/>
  <c r="M104" i="1"/>
  <c r="F104" i="1"/>
  <c r="G104" i="1" s="1"/>
  <c r="M103" i="1"/>
  <c r="F103" i="1"/>
  <c r="G103" i="1" s="1"/>
  <c r="M102" i="1"/>
  <c r="F102" i="1"/>
  <c r="G102" i="1" s="1"/>
  <c r="M101" i="1"/>
  <c r="F101" i="1"/>
  <c r="G101" i="1" s="1"/>
  <c r="M100" i="1"/>
  <c r="F100" i="1"/>
  <c r="G100" i="1" s="1"/>
  <c r="M99" i="1"/>
  <c r="F99" i="1"/>
  <c r="G99" i="1" s="1"/>
  <c r="M98" i="1"/>
  <c r="F98" i="1"/>
  <c r="G98" i="1" s="1"/>
  <c r="M97" i="1"/>
  <c r="G97" i="1"/>
  <c r="F97" i="1"/>
  <c r="M96" i="1"/>
  <c r="G96" i="1"/>
  <c r="F96" i="1"/>
  <c r="M95" i="1"/>
  <c r="F95" i="1"/>
  <c r="G95" i="1" s="1"/>
  <c r="M94" i="1"/>
  <c r="F94" i="1"/>
  <c r="G94" i="1" s="1"/>
  <c r="M93" i="1"/>
  <c r="G93" i="1"/>
  <c r="F93" i="1"/>
  <c r="M92" i="1"/>
  <c r="F92" i="1"/>
  <c r="G92" i="1" s="1"/>
  <c r="M91" i="1"/>
  <c r="F91" i="1"/>
  <c r="G91" i="1" s="1"/>
  <c r="M90" i="1"/>
  <c r="F90" i="1"/>
  <c r="G90" i="1" s="1"/>
  <c r="M89" i="1"/>
  <c r="G89" i="1"/>
  <c r="F89" i="1"/>
  <c r="M88" i="1"/>
  <c r="G88" i="1"/>
  <c r="F88" i="1"/>
  <c r="M87" i="1"/>
  <c r="F87" i="1"/>
  <c r="G87" i="1" s="1"/>
  <c r="M86" i="1"/>
  <c r="F86" i="1"/>
  <c r="G86" i="1" s="1"/>
  <c r="M85" i="1"/>
  <c r="F85" i="1"/>
  <c r="G85" i="1" s="1"/>
  <c r="M84" i="1"/>
  <c r="F84" i="1"/>
  <c r="G84" i="1" s="1"/>
  <c r="M83" i="1"/>
  <c r="F83" i="1"/>
  <c r="G83" i="1" s="1"/>
  <c r="M82" i="1"/>
  <c r="F82" i="1"/>
  <c r="G82" i="1" s="1"/>
  <c r="M81" i="1"/>
  <c r="F81" i="1"/>
  <c r="G81" i="1" s="1"/>
  <c r="M80" i="1"/>
  <c r="F80" i="1"/>
  <c r="G80" i="1" s="1"/>
  <c r="M79" i="1"/>
  <c r="F79" i="1"/>
  <c r="G79" i="1" s="1"/>
  <c r="M78" i="1"/>
  <c r="F78" i="1"/>
  <c r="G78" i="1" s="1"/>
  <c r="M77" i="1"/>
  <c r="F77" i="1"/>
  <c r="G77" i="1" s="1"/>
  <c r="M76" i="1"/>
  <c r="F76" i="1"/>
  <c r="G76" i="1" s="1"/>
  <c r="M75" i="1"/>
  <c r="F75" i="1"/>
  <c r="G75" i="1" s="1"/>
  <c r="M74" i="1"/>
  <c r="F74" i="1"/>
  <c r="G74" i="1" s="1"/>
  <c r="M73" i="1"/>
  <c r="G73" i="1"/>
  <c r="F73" i="1"/>
  <c r="M72" i="1"/>
  <c r="G72" i="1"/>
  <c r="F72" i="1"/>
  <c r="M71" i="1"/>
  <c r="F71" i="1"/>
  <c r="G71" i="1" s="1"/>
  <c r="M70" i="1"/>
  <c r="F70" i="1"/>
  <c r="G70" i="1" s="1"/>
  <c r="M69" i="1"/>
  <c r="G69" i="1"/>
  <c r="F69" i="1"/>
  <c r="M68" i="1"/>
  <c r="F68" i="1"/>
  <c r="G68" i="1" s="1"/>
  <c r="M67" i="1"/>
  <c r="F67" i="1"/>
  <c r="G67" i="1" s="1"/>
  <c r="M66" i="1"/>
  <c r="F66" i="1"/>
  <c r="G66" i="1" s="1"/>
  <c r="M65" i="1"/>
  <c r="G65" i="1"/>
  <c r="F65" i="1"/>
  <c r="M64" i="1"/>
  <c r="G64" i="1"/>
  <c r="F64" i="1"/>
  <c r="M63" i="1"/>
  <c r="F63" i="1"/>
  <c r="G63" i="1" s="1"/>
  <c r="M62" i="1"/>
  <c r="F62" i="1"/>
  <c r="G62" i="1" s="1"/>
  <c r="M61" i="1"/>
  <c r="F61" i="1"/>
  <c r="G61" i="1" s="1"/>
  <c r="M60" i="1"/>
  <c r="F60" i="1"/>
  <c r="G60" i="1" s="1"/>
  <c r="M59" i="1"/>
  <c r="F59" i="1"/>
  <c r="G59" i="1" s="1"/>
  <c r="M58" i="1"/>
  <c r="F58" i="1"/>
  <c r="G58" i="1" s="1"/>
  <c r="M57" i="1"/>
  <c r="F57" i="1"/>
  <c r="G57" i="1" s="1"/>
  <c r="M56" i="1"/>
  <c r="F56" i="1"/>
  <c r="G56" i="1" s="1"/>
  <c r="M55" i="1"/>
  <c r="F55" i="1"/>
  <c r="G55" i="1" s="1"/>
  <c r="M54" i="1"/>
  <c r="F54" i="1"/>
  <c r="G54" i="1" s="1"/>
  <c r="M53" i="1"/>
  <c r="F53" i="1"/>
  <c r="G53" i="1" s="1"/>
  <c r="M52" i="1"/>
  <c r="F52" i="1"/>
  <c r="G52" i="1" s="1"/>
  <c r="M51" i="1"/>
  <c r="F51" i="1"/>
  <c r="G51" i="1" s="1"/>
  <c r="M50" i="1"/>
  <c r="F50" i="1"/>
  <c r="G50" i="1" s="1"/>
  <c r="M49" i="1"/>
  <c r="G49" i="1"/>
  <c r="F49" i="1"/>
  <c r="M48" i="1"/>
  <c r="G48" i="1"/>
  <c r="F48" i="1"/>
  <c r="M47" i="1"/>
  <c r="F47" i="1"/>
  <c r="G47" i="1" s="1"/>
  <c r="M46" i="1"/>
  <c r="F46" i="1"/>
  <c r="G46" i="1" s="1"/>
  <c r="M45" i="1"/>
  <c r="G45" i="1"/>
  <c r="F45" i="1"/>
  <c r="M44" i="1"/>
  <c r="F44" i="1"/>
  <c r="G44" i="1" s="1"/>
  <c r="M43" i="1"/>
  <c r="F43" i="1"/>
  <c r="G43" i="1" s="1"/>
  <c r="M42" i="1"/>
  <c r="F42" i="1"/>
  <c r="G42" i="1" s="1"/>
  <c r="M41" i="1"/>
  <c r="G41" i="1"/>
  <c r="F41" i="1"/>
  <c r="M40" i="1"/>
  <c r="F40" i="1"/>
  <c r="G40" i="1" s="1"/>
  <c r="M39" i="1"/>
  <c r="F39" i="1"/>
  <c r="G39" i="1" s="1"/>
  <c r="M38" i="1"/>
  <c r="F38" i="1"/>
  <c r="G38" i="1" s="1"/>
  <c r="M37" i="1"/>
  <c r="F37" i="1"/>
  <c r="G37" i="1" s="1"/>
  <c r="M36" i="1"/>
  <c r="F36" i="1"/>
  <c r="G36" i="1" s="1"/>
  <c r="M35" i="1"/>
  <c r="F35" i="1"/>
  <c r="G35" i="1" s="1"/>
  <c r="M34" i="1"/>
  <c r="F34" i="1"/>
  <c r="G34" i="1" s="1"/>
  <c r="M33" i="1"/>
  <c r="F33" i="1"/>
  <c r="G33" i="1" s="1"/>
  <c r="M32" i="1"/>
  <c r="F32" i="1"/>
  <c r="G32" i="1" s="1"/>
  <c r="M31" i="1"/>
  <c r="F31" i="1"/>
  <c r="G31" i="1" s="1"/>
  <c r="M30" i="1"/>
  <c r="F30" i="1"/>
  <c r="G30" i="1" s="1"/>
  <c r="M29" i="1"/>
  <c r="F29" i="1"/>
  <c r="G29" i="1" s="1"/>
  <c r="M28" i="1"/>
  <c r="F28" i="1"/>
  <c r="G28" i="1" s="1"/>
  <c r="M27" i="1"/>
  <c r="F27" i="1"/>
  <c r="G27" i="1" s="1"/>
  <c r="M26" i="1"/>
  <c r="F26" i="1"/>
  <c r="G26" i="1" s="1"/>
  <c r="M25" i="1"/>
  <c r="G25" i="1"/>
  <c r="F25" i="1"/>
  <c r="M24" i="1"/>
  <c r="G24" i="1"/>
  <c r="F24" i="1"/>
  <c r="M23" i="1"/>
  <c r="M22" i="1"/>
  <c r="F22" i="1"/>
  <c r="G22" i="1" s="1"/>
  <c r="F21" i="1"/>
  <c r="G21" i="1" s="1"/>
  <c r="M20" i="1"/>
  <c r="F20" i="1"/>
  <c r="G20" i="1" s="1"/>
  <c r="M19" i="1"/>
  <c r="F19" i="1"/>
  <c r="G19" i="1" s="1"/>
  <c r="M16" i="1"/>
  <c r="F16" i="1"/>
  <c r="G16" i="1" s="1"/>
  <c r="M15" i="1"/>
  <c r="F15" i="1"/>
  <c r="G15" i="1" s="1"/>
</calcChain>
</file>

<file path=xl/sharedStrings.xml><?xml version="1.0" encoding="utf-8"?>
<sst xmlns="http://schemas.openxmlformats.org/spreadsheetml/2006/main" count="105" uniqueCount="69">
  <si>
    <t>Expenses report</t>
  </si>
  <si>
    <t xml:space="preserve">Project name </t>
  </si>
  <si>
    <t>GREATER – Growing Rwanda Energy Awareness Through highER education</t>
  </si>
  <si>
    <t>Project ID</t>
  </si>
  <si>
    <t>101083081 ERASMUS-EDU-2022-CBHE</t>
  </si>
  <si>
    <t xml:space="preserve">file name </t>
  </si>
  <si>
    <t>Partner</t>
  </si>
  <si>
    <t>Date</t>
  </si>
  <si>
    <t>Amount</t>
  </si>
  <si>
    <t>Currency</t>
  </si>
  <si>
    <t>Exch. Rate</t>
  </si>
  <si>
    <t>Amount EUR</t>
  </si>
  <si>
    <t>Category</t>
  </si>
  <si>
    <t>Work Package</t>
  </si>
  <si>
    <t xml:space="preserve">Upload date </t>
  </si>
  <si>
    <t>Short description (mandatory)</t>
  </si>
  <si>
    <t>Comments (optional)</t>
  </si>
  <si>
    <t>AIR TICKET FOR MOBILITY.pdf</t>
  </si>
  <si>
    <t>RP</t>
  </si>
  <si>
    <t>RWF</t>
  </si>
  <si>
    <t>Travel</t>
  </si>
  <si>
    <t>WP 005 - Training and coaching</t>
  </si>
  <si>
    <t>Air Tickects for Germany Training (3 people)</t>
  </si>
  <si>
    <t>GERMANY MOBILITY.pdf</t>
  </si>
  <si>
    <t>Accomodation for Germany Training (3 people)</t>
  </si>
  <si>
    <r>
      <rPr>
        <sz val="11"/>
        <color rgb="FF000000"/>
        <rFont val="docs-Calibri"/>
      </rPr>
      <t>COMMITMENT MISSION ALLOWANCES.pdf</t>
    </r>
  </si>
  <si>
    <t>COMMITMENT MISSION ALLOWANCES.pdf</t>
  </si>
  <si>
    <t>Services for Meetings, Seminars</t>
  </si>
  <si>
    <t>WP 006 - Transfer methodologies</t>
  </si>
  <si>
    <t>Mission allowance for people who attended meetings and workshops at UR</t>
  </si>
  <si>
    <t>BOSCO_Mission_Order.pdf</t>
  </si>
  <si>
    <t>Other</t>
  </si>
  <si>
    <t>Mission allowance for Mr Bosco conducting Market Survey for prices of Summer School Materials to be bought</t>
  </si>
  <si>
    <t>PurchaseOrderSummerSchoolConsumables_A.pdf</t>
  </si>
  <si>
    <t>Consumables</t>
  </si>
  <si>
    <t>Purchase Order for Summer School Consumables from ITEC</t>
  </si>
  <si>
    <t>PurchaseOrderSummerSchoolConsumables_B.pdf</t>
  </si>
  <si>
    <t>Purchase Order for Summer School Consumables from Jims Global Service</t>
  </si>
  <si>
    <t>Exchange rate RWF-EUR</t>
  </si>
  <si>
    <t>Organization</t>
  </si>
  <si>
    <t>HBRS</t>
  </si>
  <si>
    <t>UNIPR - UNIVERSITÀ DEGLI STUDI DI PARMA</t>
  </si>
  <si>
    <t>WP 001 - Management and coordination</t>
  </si>
  <si>
    <t>HN</t>
  </si>
  <si>
    <t>HN - HOCHSCHULE NIEDERRHEIN</t>
  </si>
  <si>
    <t>WP 002 - Collaboration design</t>
  </si>
  <si>
    <t>IMEM</t>
  </si>
  <si>
    <t>HBRS - HOCHSCHULE BONN-RHEIN-SIEG</t>
  </si>
  <si>
    <t>WP 003 - Infrastructures</t>
  </si>
  <si>
    <t>INES</t>
  </si>
  <si>
    <t>UR - UNIVERSITY OF RWANDA</t>
  </si>
  <si>
    <t>WP 004 - Curricula design</t>
  </si>
  <si>
    <t>RP - RWANDA POLYTECHNIC</t>
  </si>
  <si>
    <t>UNIPR</t>
  </si>
  <si>
    <t>INES - INSTITUT D'ENSEIGNEMENT SUPERIEUR DE RUHENGERI</t>
  </si>
  <si>
    <t>UR</t>
  </si>
  <si>
    <t>UTAB - UNIVERSITY OF TECHNOLOGY AND ARTS OF BYUMBA</t>
  </si>
  <si>
    <t>WP 007 - Impact and dissemination</t>
  </si>
  <si>
    <t>UTAB</t>
  </si>
  <si>
    <t>IMEM - CONSIGLIO NAZIONALE DELLE RICERCHE-IMEM</t>
  </si>
  <si>
    <t xml:space="preserve"> </t>
  </si>
  <si>
    <t>Description</t>
  </si>
  <si>
    <t>EUR</t>
  </si>
  <si>
    <t>Accommodation</t>
  </si>
  <si>
    <t>Subsistence</t>
  </si>
  <si>
    <t>Equipment</t>
  </si>
  <si>
    <t xml:space="preserve">Services for communication/promotion/dissemination </t>
  </si>
  <si>
    <t>Mission allowance for people who attended kick-off meetings  at INES</t>
  </si>
  <si>
    <t>Millage for DPAT to attend kick-off meetings  at 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</si>
</sst>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&quot;€&quot;_-;\-* #,##0.00\ &quot;€&quot;_-;_-* &quot;-&quot;??\ &quot;€&quot;_-;_-@"/>
    <numFmt numFmtId="165" formatCode="0.000000000"/>
    <numFmt numFmtId="166" formatCode="0.0000000"/>
  </numFmts>
  <fonts count="10">
    <font>
      <sz val="10"/>
      <color rgb="FF000000"/>
      <name val="Arial"/>
      <scheme val="minor"/>
    </font>
    <font>
      <sz val="11"/>
      <color theme="1"/>
      <name val="Calibri"/>
    </font>
    <font>
      <b/>
      <sz val="20"/>
      <color rgb="FF0070C0"/>
      <name val="Calibri"/>
    </font>
    <font>
      <b/>
      <sz val="10"/>
      <color theme="1"/>
      <name val="Calibri"/>
    </font>
    <font>
      <sz val="10"/>
      <name val="Arial"/>
    </font>
    <font>
      <b/>
      <sz val="11"/>
      <color theme="1"/>
      <name val="Calibri"/>
    </font>
    <font>
      <sz val="10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sz val="11"/>
      <color rgb="FF000000"/>
      <name val="docs-Calibri"/>
    </font>
  </fonts>
  <fills count="10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3" fillId="2" borderId="3" xfId="0" applyFont="1" applyFill="1" applyBorder="1" applyAlignment="1">
      <alignment wrapText="1"/>
    </xf>
    <xf numFmtId="0" fontId="5" fillId="3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/>
    <xf numFmtId="3" fontId="1" fillId="0" borderId="8" xfId="0" applyNumberFormat="1" applyFont="1" applyBorder="1"/>
    <xf numFmtId="0" fontId="1" fillId="5" borderId="8" xfId="0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 applyAlignment="1"/>
    <xf numFmtId="3" fontId="1" fillId="0" borderId="8" xfId="0" applyNumberFormat="1" applyFont="1" applyBorder="1" applyAlignment="1"/>
    <xf numFmtId="0" fontId="5" fillId="0" borderId="8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4" fontId="7" fillId="6" borderId="9" xfId="0" applyNumberFormat="1" applyFont="1" applyFill="1" applyBorder="1" applyAlignment="1">
      <alignment wrapText="1"/>
    </xf>
    <xf numFmtId="165" fontId="7" fillId="6" borderId="9" xfId="0" applyNumberFormat="1" applyFont="1" applyFill="1" applyBorder="1" applyAlignment="1">
      <alignment wrapText="1"/>
    </xf>
    <xf numFmtId="14" fontId="6" fillId="0" borderId="0" xfId="0" applyNumberFormat="1" applyFont="1"/>
    <xf numFmtId="166" fontId="6" fillId="0" borderId="0" xfId="0" applyNumberFormat="1" applyFont="1"/>
    <xf numFmtId="14" fontId="7" fillId="0" borderId="0" xfId="0" applyNumberFormat="1" applyFont="1"/>
    <xf numFmtId="14" fontId="8" fillId="0" borderId="0" xfId="0" applyNumberFormat="1" applyFont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0</xdr:row>
      <xdr:rowOff>57150</xdr:rowOff>
    </xdr:from>
    <xdr:ext cx="1209675" cy="704850"/>
    <xdr:pic>
      <xdr:nvPicPr>
        <xdr:cNvPr id="2" name="image2.png" title="Immagin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0</xdr:row>
      <xdr:rowOff>123825</xdr:rowOff>
    </xdr:from>
    <xdr:ext cx="3086100" cy="638175"/>
    <xdr:pic>
      <xdr:nvPicPr>
        <xdr:cNvPr id="3" name="image1.png" title="Immagin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02"/>
  <sheetViews>
    <sheetView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K18" sqref="K18"/>
    </sheetView>
  </sheetViews>
  <sheetFormatPr defaultColWidth="12.6640625" defaultRowHeight="15" customHeight="1"/>
  <cols>
    <col min="1" max="1" width="17.33203125" customWidth="1"/>
    <col min="2" max="7" width="11.109375" customWidth="1"/>
    <col min="8" max="8" width="12.77734375" customWidth="1"/>
    <col min="9" max="9" width="30" customWidth="1"/>
    <col min="10" max="10" width="11.109375" customWidth="1"/>
    <col min="11" max="11" width="23.33203125" customWidth="1"/>
    <col min="12" max="12" width="27.77734375" customWidth="1"/>
    <col min="13" max="31" width="11.109375" customWidth="1"/>
  </cols>
  <sheetData>
    <row r="1" spans="1:31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 customHeight="1">
      <c r="A5" s="1"/>
      <c r="B5" s="2"/>
      <c r="C5" s="1"/>
      <c r="D5" s="3"/>
      <c r="E5" s="3"/>
      <c r="F5" s="3"/>
      <c r="G5" s="3"/>
      <c r="H5" s="3"/>
      <c r="I5" s="3"/>
      <c r="J5" s="3"/>
      <c r="K5" s="3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4" customHeight="1">
      <c r="A6" s="30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customHeight="1">
      <c r="A9" s="4"/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customHeight="1">
      <c r="A10" s="6" t="s">
        <v>1</v>
      </c>
      <c r="B10" s="32" t="s">
        <v>2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customHeight="1">
      <c r="A11" s="6" t="s">
        <v>3</v>
      </c>
      <c r="B11" s="35" t="s">
        <v>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7" t="s">
        <v>5</v>
      </c>
      <c r="B14" s="7" t="s">
        <v>6</v>
      </c>
      <c r="C14" s="7" t="s">
        <v>7</v>
      </c>
      <c r="D14" s="7" t="s">
        <v>8</v>
      </c>
      <c r="E14" s="7" t="s">
        <v>9</v>
      </c>
      <c r="F14" s="8" t="s">
        <v>10</v>
      </c>
      <c r="G14" s="8" t="s">
        <v>11</v>
      </c>
      <c r="H14" s="7" t="s">
        <v>12</v>
      </c>
      <c r="I14" s="7" t="s">
        <v>13</v>
      </c>
      <c r="J14" s="7" t="s">
        <v>14</v>
      </c>
      <c r="K14" s="7" t="s">
        <v>15</v>
      </c>
      <c r="L14" s="7" t="s">
        <v>16</v>
      </c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9" t="s">
        <v>17</v>
      </c>
      <c r="B15" s="10" t="s">
        <v>18</v>
      </c>
      <c r="C15" s="11">
        <v>45397</v>
      </c>
      <c r="D15" s="12">
        <v>8867088</v>
      </c>
      <c r="E15" s="10" t="s">
        <v>19</v>
      </c>
      <c r="F15" s="13">
        <f>IF(E15="RWF",SUMIF('Exch. rate'!A:A,'Expenses report'!C15,'Exch. rate'!B:B),IF(E15="EUR",1,""))</f>
        <v>7.2860000000000004E-4</v>
      </c>
      <c r="G15" s="14">
        <f t="shared" ref="G15:G16" si="0">IFERROR(D15*F15,"")</f>
        <v>6460.5603168000007</v>
      </c>
      <c r="H15" s="10" t="s">
        <v>20</v>
      </c>
      <c r="I15" s="10" t="s">
        <v>21</v>
      </c>
      <c r="J15" s="11">
        <v>45483</v>
      </c>
      <c r="K15" s="9" t="s">
        <v>22</v>
      </c>
      <c r="L15" s="9"/>
      <c r="M15" s="2" t="str">
        <f t="shared" ref="M15:M16" si="1">IF(AND(NOT(ISBLANK($A15)),OR(ISBLANK($K15),ISBLANK($B15),ISBLANK($C15),ISBLANK($D15),ISBLANK($E15),ISBLANK($H15),ISBLANK($I15))),"INCOMPLETE","")</f>
        <v/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9" t="s">
        <v>23</v>
      </c>
      <c r="B16" s="10" t="s">
        <v>18</v>
      </c>
      <c r="C16" s="11">
        <v>45397</v>
      </c>
      <c r="D16" s="12">
        <v>10080720</v>
      </c>
      <c r="E16" s="10" t="s">
        <v>19</v>
      </c>
      <c r="F16" s="13">
        <f>IF(E16="RWF",SUMIF('Exch. rate'!A:A,'Expenses report'!C16,'Exch. rate'!B:B),IF(E16="EUR",1,""))</f>
        <v>7.2860000000000004E-4</v>
      </c>
      <c r="G16" s="14">
        <f t="shared" si="0"/>
        <v>7344.8125920000002</v>
      </c>
      <c r="H16" s="10" t="s">
        <v>20</v>
      </c>
      <c r="I16" s="10" t="s">
        <v>21</v>
      </c>
      <c r="J16" s="11">
        <v>45483</v>
      </c>
      <c r="K16" s="9" t="s">
        <v>24</v>
      </c>
      <c r="L16" s="9"/>
      <c r="M16" s="2" t="str">
        <f t="shared" si="1"/>
        <v/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9" t="s">
        <v>26</v>
      </c>
      <c r="B17" s="15" t="s">
        <v>18</v>
      </c>
      <c r="C17" s="16">
        <v>44965</v>
      </c>
      <c r="D17" s="12">
        <v>54560</v>
      </c>
      <c r="E17" s="15" t="s">
        <v>19</v>
      </c>
      <c r="F17" s="13">
        <v>8.7719999999999996E-4</v>
      </c>
      <c r="G17" s="14">
        <f t="shared" ref="G17:G22" si="2">IFERROR(D17*F17,"")</f>
        <v>47.860031999999997</v>
      </c>
      <c r="H17" s="15" t="s">
        <v>20</v>
      </c>
      <c r="I17" s="15" t="s">
        <v>45</v>
      </c>
      <c r="J17" s="11">
        <v>45531</v>
      </c>
      <c r="K17" s="9" t="s">
        <v>68</v>
      </c>
      <c r="L17" s="9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9" t="s">
        <v>25</v>
      </c>
      <c r="B18" s="15" t="s">
        <v>18</v>
      </c>
      <c r="C18" s="16">
        <v>44965</v>
      </c>
      <c r="D18" s="17">
        <v>330640</v>
      </c>
      <c r="E18" s="15" t="s">
        <v>19</v>
      </c>
      <c r="F18" s="13">
        <v>8.7719999999999996E-4</v>
      </c>
      <c r="G18" s="14">
        <f t="shared" si="2"/>
        <v>290.03740799999997</v>
      </c>
      <c r="H18" s="10" t="s">
        <v>27</v>
      </c>
      <c r="I18" s="10" t="s">
        <v>45</v>
      </c>
      <c r="J18" s="11">
        <v>45531</v>
      </c>
      <c r="K18" s="9" t="s">
        <v>67</v>
      </c>
      <c r="L18" s="9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9" t="s">
        <v>26</v>
      </c>
      <c r="B19" s="10" t="s">
        <v>18</v>
      </c>
      <c r="C19" s="11">
        <v>45302</v>
      </c>
      <c r="D19" s="12">
        <v>648800</v>
      </c>
      <c r="E19" s="10" t="s">
        <v>19</v>
      </c>
      <c r="F19" s="13">
        <f>IF(E19="RWF",SUMIF('Exch. rate'!A:A,'Expenses report'!C19,'Exch. rate'!B:B),IF(E19="EUR",1,""))</f>
        <v>7.2020000000000005E-4</v>
      </c>
      <c r="G19" s="14">
        <f t="shared" si="2"/>
        <v>467.26576000000006</v>
      </c>
      <c r="H19" s="10" t="s">
        <v>27</v>
      </c>
      <c r="I19" s="10" t="s">
        <v>28</v>
      </c>
      <c r="J19" s="11">
        <v>45483</v>
      </c>
      <c r="K19" s="9" t="s">
        <v>29</v>
      </c>
      <c r="L19" s="9"/>
      <c r="M19" s="2" t="str">
        <f t="shared" ref="M19:M20" si="3">IF(AND(NOT(ISBLANK($A19)),OR(ISBLANK($K19),ISBLANK($B19),ISBLANK($C19),ISBLANK($D19),ISBLANK($E19),ISBLANK($H19),ISBLANK($I19))),"INCOMPLETE","")</f>
        <v/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customHeight="1">
      <c r="A20" s="9" t="s">
        <v>30</v>
      </c>
      <c r="B20" s="10" t="s">
        <v>18</v>
      </c>
      <c r="C20" s="11">
        <v>45497</v>
      </c>
      <c r="D20" s="12">
        <v>96160</v>
      </c>
      <c r="E20" s="10" t="s">
        <v>19</v>
      </c>
      <c r="F20" s="13">
        <f>IF(E20="RWF",SUMIF('Exch. rate'!A:A,'Expenses report'!C20,'Exch. rate'!B:B),IF(E20="EUR",1,""))</f>
        <v>0</v>
      </c>
      <c r="G20" s="14">
        <f t="shared" si="2"/>
        <v>0</v>
      </c>
      <c r="H20" s="10" t="s">
        <v>31</v>
      </c>
      <c r="I20" s="10" t="s">
        <v>28</v>
      </c>
      <c r="J20" s="11">
        <v>45524</v>
      </c>
      <c r="K20" s="9" t="s">
        <v>32</v>
      </c>
      <c r="L20" s="9"/>
      <c r="M20" s="2" t="str">
        <f t="shared" si="3"/>
        <v/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customHeight="1">
      <c r="A21" s="9" t="s">
        <v>33</v>
      </c>
      <c r="B21" s="10" t="s">
        <v>18</v>
      </c>
      <c r="C21" s="11">
        <v>45524</v>
      </c>
      <c r="D21" s="12">
        <v>2993551</v>
      </c>
      <c r="E21" s="10" t="s">
        <v>19</v>
      </c>
      <c r="F21" s="13">
        <f>IF(E21="RWF",SUMIF('Exch. rate'!A:A,'Expenses report'!C21,'Exch. rate'!B:B),IF(E21="EUR",1,""))</f>
        <v>0</v>
      </c>
      <c r="G21" s="14">
        <f t="shared" si="2"/>
        <v>0</v>
      </c>
      <c r="H21" s="10" t="s">
        <v>34</v>
      </c>
      <c r="I21" s="10" t="s">
        <v>28</v>
      </c>
      <c r="J21" s="11">
        <v>45523</v>
      </c>
      <c r="K21" s="9" t="s">
        <v>35</v>
      </c>
      <c r="L21" s="9"/>
    </row>
    <row r="22" spans="1:31" ht="15.75" customHeight="1">
      <c r="A22" s="9" t="s">
        <v>36</v>
      </c>
      <c r="B22" s="10" t="s">
        <v>18</v>
      </c>
      <c r="C22" s="11">
        <v>45524</v>
      </c>
      <c r="D22" s="12">
        <v>2068094</v>
      </c>
      <c r="E22" s="10" t="s">
        <v>19</v>
      </c>
      <c r="F22" s="13">
        <f>IF(E22="RWF",SUMIF('Exch. rate'!A:A,'Expenses report'!C22,'Exch. rate'!B:B),IF(E22="EUR",1,""))</f>
        <v>0</v>
      </c>
      <c r="G22" s="14">
        <f t="shared" si="2"/>
        <v>0</v>
      </c>
      <c r="H22" s="10" t="s">
        <v>34</v>
      </c>
      <c r="I22" s="10" t="s">
        <v>28</v>
      </c>
      <c r="J22" s="11">
        <v>45524</v>
      </c>
      <c r="K22" s="9" t="s">
        <v>37</v>
      </c>
      <c r="L22" s="9"/>
      <c r="M22" s="2" t="str">
        <f t="shared" ref="M22:M352" si="4">IF(AND(NOT(ISBLANK($A22)),OR(ISBLANK($K22),ISBLANK($B22),ISBLANK($C22),ISBLANK($D22),ISBLANK($E22),ISBLANK($H22),ISBLANK($I22))),"INCOMPLETE","")</f>
        <v/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>
      <c r="A23" s="9"/>
      <c r="B23" s="10"/>
      <c r="C23" s="9"/>
      <c r="D23" s="9"/>
      <c r="E23" s="10"/>
      <c r="F23" s="13"/>
      <c r="G23" s="14"/>
      <c r="H23" s="10"/>
      <c r="I23" s="10"/>
      <c r="J23" s="9"/>
      <c r="K23" s="9"/>
      <c r="L23" s="9"/>
      <c r="M23" s="2" t="str">
        <f t="shared" si="4"/>
        <v/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9"/>
      <c r="B24" s="10"/>
      <c r="C24" s="9"/>
      <c r="D24" s="9"/>
      <c r="E24" s="10"/>
      <c r="F24" s="13" t="str">
        <f>IF(E24="RWF",SUMIF('Exch. rate'!A:A,'Expenses report'!C24,'Exch. rate'!B:B),IF(E24="EUR",1,""))</f>
        <v/>
      </c>
      <c r="G24" s="14" t="str">
        <f t="shared" ref="G24:G352" si="5">IFERROR(D24*F24,"")</f>
        <v/>
      </c>
      <c r="H24" s="10"/>
      <c r="I24" s="10"/>
      <c r="J24" s="9"/>
      <c r="K24" s="9"/>
      <c r="L24" s="9"/>
      <c r="M24" s="2" t="str">
        <f t="shared" si="4"/>
        <v/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9"/>
      <c r="B25" s="10"/>
      <c r="C25" s="9"/>
      <c r="D25" s="9"/>
      <c r="E25" s="10"/>
      <c r="F25" s="13" t="str">
        <f>IF(E25="RWF",SUMIF('Exch. rate'!A:A,'Expenses report'!C25,'Exch. rate'!B:B),IF(E25="EUR",1,""))</f>
        <v/>
      </c>
      <c r="G25" s="14" t="str">
        <f t="shared" si="5"/>
        <v/>
      </c>
      <c r="H25" s="10"/>
      <c r="I25" s="10"/>
      <c r="J25" s="9"/>
      <c r="K25" s="9"/>
      <c r="L25" s="9"/>
      <c r="M25" s="2" t="str">
        <f t="shared" si="4"/>
        <v/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9"/>
      <c r="B26" s="10"/>
      <c r="C26" s="11"/>
      <c r="D26" s="9"/>
      <c r="E26" s="10"/>
      <c r="F26" s="13" t="str">
        <f>IF(E26="RWF",SUMIF('Exch. rate'!A:A,'Expenses report'!C26,'Exch. rate'!B:B),IF(E26="EUR",1,""))</f>
        <v/>
      </c>
      <c r="G26" s="14" t="str">
        <f t="shared" si="5"/>
        <v/>
      </c>
      <c r="H26" s="10"/>
      <c r="I26" s="10"/>
      <c r="J26" s="9"/>
      <c r="K26" s="9"/>
      <c r="L26" s="9"/>
      <c r="M26" s="2" t="str">
        <f t="shared" si="4"/>
        <v/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9"/>
      <c r="B27" s="10"/>
      <c r="C27" s="11"/>
      <c r="D27" s="9"/>
      <c r="E27" s="18"/>
      <c r="F27" s="13" t="str">
        <f>IF(E27="RWF",SUMIF('Exch. rate'!A:A,'Expenses report'!C27,'Exch. rate'!B:B),IF(E27="EUR",1,""))</f>
        <v/>
      </c>
      <c r="G27" s="14" t="str">
        <f t="shared" si="5"/>
        <v/>
      </c>
      <c r="H27" s="10"/>
      <c r="I27" s="10"/>
      <c r="J27" s="9"/>
      <c r="K27" s="9"/>
      <c r="L27" s="9"/>
      <c r="M27" s="2" t="str">
        <f t="shared" si="4"/>
        <v/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9"/>
      <c r="B28" s="10"/>
      <c r="C28" s="9"/>
      <c r="D28" s="9"/>
      <c r="E28" s="18"/>
      <c r="F28" s="13" t="str">
        <f>IF(E28="RWF",SUMIF('Exch. rate'!A:A,'Expenses report'!C28,'Exch. rate'!B:B),IF(E28="EUR",1,""))</f>
        <v/>
      </c>
      <c r="G28" s="14" t="str">
        <f t="shared" si="5"/>
        <v/>
      </c>
      <c r="H28" s="10"/>
      <c r="I28" s="10"/>
      <c r="J28" s="9"/>
      <c r="K28" s="9"/>
      <c r="L28" s="9"/>
      <c r="M28" s="2" t="str">
        <f t="shared" si="4"/>
        <v/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9"/>
      <c r="B29" s="10"/>
      <c r="C29" s="9"/>
      <c r="D29" s="9"/>
      <c r="E29" s="18"/>
      <c r="F29" s="13" t="str">
        <f>IF(E29="RWF",SUMIF('Exch. rate'!A:A,'Expenses report'!C29,'Exch. rate'!B:B),IF(E29="EUR",1,""))</f>
        <v/>
      </c>
      <c r="G29" s="14" t="str">
        <f t="shared" si="5"/>
        <v/>
      </c>
      <c r="H29" s="10"/>
      <c r="I29" s="10"/>
      <c r="J29" s="9"/>
      <c r="K29" s="9"/>
      <c r="L29" s="9"/>
      <c r="M29" s="2" t="str">
        <f t="shared" si="4"/>
        <v/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9"/>
      <c r="B30" s="10"/>
      <c r="C30" s="9"/>
      <c r="D30" s="9"/>
      <c r="E30" s="18"/>
      <c r="F30" s="13" t="str">
        <f>IF(E30="RWF",SUMIF('Exch. rate'!A:A,'Expenses report'!C30,'Exch. rate'!B:B),IF(E30="EUR",1,""))</f>
        <v/>
      </c>
      <c r="G30" s="14" t="str">
        <f t="shared" si="5"/>
        <v/>
      </c>
      <c r="H30" s="10"/>
      <c r="I30" s="10"/>
      <c r="J30" s="9"/>
      <c r="K30" s="9"/>
      <c r="L30" s="9"/>
      <c r="M30" s="2" t="str">
        <f t="shared" si="4"/>
        <v/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9"/>
      <c r="B31" s="10"/>
      <c r="C31" s="9"/>
      <c r="D31" s="9"/>
      <c r="E31" s="18"/>
      <c r="F31" s="13" t="str">
        <f>IF(E31="RWF",SUMIF('Exch. rate'!A:A,'Expenses report'!C31,'Exch. rate'!B:B),IF(E31="EUR",1,""))</f>
        <v/>
      </c>
      <c r="G31" s="14" t="str">
        <f t="shared" si="5"/>
        <v/>
      </c>
      <c r="H31" s="10"/>
      <c r="I31" s="10"/>
      <c r="J31" s="9"/>
      <c r="K31" s="9"/>
      <c r="L31" s="9"/>
      <c r="M31" s="2" t="str">
        <f t="shared" si="4"/>
        <v/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9"/>
      <c r="B32" s="10"/>
      <c r="C32" s="9"/>
      <c r="D32" s="9"/>
      <c r="E32" s="18"/>
      <c r="F32" s="13" t="str">
        <f>IF(E32="RWF",SUMIF('Exch. rate'!A:A,'Expenses report'!C32,'Exch. rate'!B:B),IF(E32="EUR",1,""))</f>
        <v/>
      </c>
      <c r="G32" s="14" t="str">
        <f t="shared" si="5"/>
        <v/>
      </c>
      <c r="H32" s="10"/>
      <c r="I32" s="10"/>
      <c r="J32" s="9"/>
      <c r="K32" s="9"/>
      <c r="L32" s="9"/>
      <c r="M32" s="2" t="str">
        <f t="shared" si="4"/>
        <v/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9"/>
      <c r="B33" s="10"/>
      <c r="C33" s="9"/>
      <c r="D33" s="9"/>
      <c r="E33" s="18"/>
      <c r="F33" s="13" t="str">
        <f>IF(E33="RWF",SUMIF('Exch. rate'!A:A,'Expenses report'!C33,'Exch. rate'!B:B),IF(E33="EUR",1,""))</f>
        <v/>
      </c>
      <c r="G33" s="14" t="str">
        <f t="shared" si="5"/>
        <v/>
      </c>
      <c r="H33" s="10"/>
      <c r="I33" s="10"/>
      <c r="J33" s="9"/>
      <c r="K33" s="9"/>
      <c r="L33" s="9"/>
      <c r="M33" s="2" t="str">
        <f t="shared" si="4"/>
        <v/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9"/>
      <c r="B34" s="10"/>
      <c r="C34" s="9"/>
      <c r="D34" s="9"/>
      <c r="E34" s="18"/>
      <c r="F34" s="13" t="str">
        <f>IF(E34="RWF",SUMIF('Exch. rate'!A:A,'Expenses report'!C34,'Exch. rate'!B:B),IF(E34="EUR",1,""))</f>
        <v/>
      </c>
      <c r="G34" s="14" t="str">
        <f t="shared" si="5"/>
        <v/>
      </c>
      <c r="H34" s="10"/>
      <c r="I34" s="10"/>
      <c r="J34" s="9"/>
      <c r="K34" s="9"/>
      <c r="L34" s="9"/>
      <c r="M34" s="2" t="str">
        <f t="shared" si="4"/>
        <v/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9"/>
      <c r="B35" s="10"/>
      <c r="C35" s="9"/>
      <c r="D35" s="9"/>
      <c r="E35" s="18"/>
      <c r="F35" s="13" t="str">
        <f>IF(E35="RWF",SUMIF('Exch. rate'!A:A,'Expenses report'!C35,'Exch. rate'!B:B),IF(E35="EUR",1,""))</f>
        <v/>
      </c>
      <c r="G35" s="14" t="str">
        <f t="shared" si="5"/>
        <v/>
      </c>
      <c r="H35" s="10"/>
      <c r="I35" s="10"/>
      <c r="J35" s="9"/>
      <c r="K35" s="9"/>
      <c r="L35" s="9"/>
      <c r="M35" s="2" t="str">
        <f t="shared" si="4"/>
        <v/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9"/>
      <c r="B36" s="10"/>
      <c r="C36" s="9"/>
      <c r="D36" s="9"/>
      <c r="E36" s="18"/>
      <c r="F36" s="13" t="str">
        <f>IF(E36="RWF",SUMIF('Exch. rate'!A:A,'Expenses report'!C36,'Exch. rate'!B:B),IF(E36="EUR",1,""))</f>
        <v/>
      </c>
      <c r="G36" s="14" t="str">
        <f t="shared" si="5"/>
        <v/>
      </c>
      <c r="H36" s="10"/>
      <c r="I36" s="10"/>
      <c r="J36" s="9"/>
      <c r="K36" s="9"/>
      <c r="L36" s="9"/>
      <c r="M36" s="2" t="str">
        <f t="shared" si="4"/>
        <v/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9"/>
      <c r="B37" s="10"/>
      <c r="C37" s="9"/>
      <c r="D37" s="9"/>
      <c r="E37" s="18"/>
      <c r="F37" s="13" t="str">
        <f>IF(E37="RWF",SUMIF('Exch. rate'!A:A,'Expenses report'!C37,'Exch. rate'!B:B),IF(E37="EUR",1,""))</f>
        <v/>
      </c>
      <c r="G37" s="14" t="str">
        <f t="shared" si="5"/>
        <v/>
      </c>
      <c r="H37" s="10"/>
      <c r="I37" s="10"/>
      <c r="J37" s="9"/>
      <c r="K37" s="9"/>
      <c r="L37" s="9"/>
      <c r="M37" s="2" t="str">
        <f t="shared" si="4"/>
        <v/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9"/>
      <c r="B38" s="10"/>
      <c r="C38" s="9"/>
      <c r="D38" s="9"/>
      <c r="E38" s="18"/>
      <c r="F38" s="13" t="str">
        <f>IF(E38="RWF",SUMIF('Exch. rate'!A:A,'Expenses report'!C38,'Exch. rate'!B:B),IF(E38="EUR",1,""))</f>
        <v/>
      </c>
      <c r="G38" s="14" t="str">
        <f t="shared" si="5"/>
        <v/>
      </c>
      <c r="H38" s="10"/>
      <c r="I38" s="10"/>
      <c r="J38" s="9"/>
      <c r="K38" s="9"/>
      <c r="L38" s="9"/>
      <c r="M38" s="2" t="str">
        <f t="shared" si="4"/>
        <v/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9"/>
      <c r="B39" s="10"/>
      <c r="C39" s="9"/>
      <c r="D39" s="9"/>
      <c r="E39" s="18"/>
      <c r="F39" s="13" t="str">
        <f>IF(E39="RWF",SUMIF('Exch. rate'!A:A,'Expenses report'!C39,'Exch. rate'!B:B),IF(E39="EUR",1,""))</f>
        <v/>
      </c>
      <c r="G39" s="14" t="str">
        <f t="shared" si="5"/>
        <v/>
      </c>
      <c r="H39" s="10"/>
      <c r="I39" s="10"/>
      <c r="J39" s="9"/>
      <c r="K39" s="9"/>
      <c r="L39" s="9"/>
      <c r="M39" s="2" t="str">
        <f t="shared" si="4"/>
        <v/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9"/>
      <c r="B40" s="10"/>
      <c r="C40" s="9"/>
      <c r="D40" s="9"/>
      <c r="E40" s="18"/>
      <c r="F40" s="13" t="str">
        <f>IF(E40="RWF",SUMIF('Exch. rate'!A:A,'Expenses report'!C40,'Exch. rate'!B:B),IF(E40="EUR",1,""))</f>
        <v/>
      </c>
      <c r="G40" s="14" t="str">
        <f t="shared" si="5"/>
        <v/>
      </c>
      <c r="H40" s="10"/>
      <c r="I40" s="10"/>
      <c r="J40" s="9"/>
      <c r="K40" s="9"/>
      <c r="L40" s="9"/>
      <c r="M40" s="2" t="str">
        <f t="shared" si="4"/>
        <v/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9"/>
      <c r="B41" s="10"/>
      <c r="C41" s="9"/>
      <c r="D41" s="9"/>
      <c r="E41" s="18"/>
      <c r="F41" s="13" t="str">
        <f>IF(E41="RWF",SUMIF('Exch. rate'!A:A,'Expenses report'!C41,'Exch. rate'!B:B),IF(E41="EUR",1,""))</f>
        <v/>
      </c>
      <c r="G41" s="14" t="str">
        <f t="shared" si="5"/>
        <v/>
      </c>
      <c r="H41" s="10"/>
      <c r="I41" s="10"/>
      <c r="J41" s="9"/>
      <c r="K41" s="9"/>
      <c r="L41" s="9"/>
      <c r="M41" s="2" t="str">
        <f t="shared" si="4"/>
        <v/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9"/>
      <c r="B42" s="10"/>
      <c r="C42" s="9"/>
      <c r="D42" s="9"/>
      <c r="E42" s="18"/>
      <c r="F42" s="13" t="str">
        <f>IF(E42="RWF",SUMIF('Exch. rate'!A:A,'Expenses report'!C42,'Exch. rate'!B:B),IF(E42="EUR",1,""))</f>
        <v/>
      </c>
      <c r="G42" s="14" t="str">
        <f t="shared" si="5"/>
        <v/>
      </c>
      <c r="H42" s="10"/>
      <c r="I42" s="10"/>
      <c r="J42" s="9"/>
      <c r="K42" s="9"/>
      <c r="L42" s="9"/>
      <c r="M42" s="2" t="str">
        <f t="shared" si="4"/>
        <v/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9"/>
      <c r="B43" s="10"/>
      <c r="C43" s="9"/>
      <c r="D43" s="9"/>
      <c r="E43" s="18"/>
      <c r="F43" s="13" t="str">
        <f>IF(E43="RWF",SUMIF('Exch. rate'!A:A,'Expenses report'!C43,'Exch. rate'!B:B),IF(E43="EUR",1,""))</f>
        <v/>
      </c>
      <c r="G43" s="14" t="str">
        <f t="shared" si="5"/>
        <v/>
      </c>
      <c r="H43" s="10"/>
      <c r="I43" s="10"/>
      <c r="J43" s="9"/>
      <c r="K43" s="9"/>
      <c r="L43" s="9"/>
      <c r="M43" s="2" t="str">
        <f t="shared" si="4"/>
        <v/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9"/>
      <c r="B44" s="10"/>
      <c r="C44" s="9"/>
      <c r="D44" s="9"/>
      <c r="E44" s="18"/>
      <c r="F44" s="13" t="str">
        <f>IF(E44="RWF",SUMIF('Exch. rate'!A:A,'Expenses report'!C44,'Exch. rate'!B:B),IF(E44="EUR",1,""))</f>
        <v/>
      </c>
      <c r="G44" s="14" t="str">
        <f t="shared" si="5"/>
        <v/>
      </c>
      <c r="H44" s="10"/>
      <c r="I44" s="10"/>
      <c r="J44" s="9"/>
      <c r="K44" s="9"/>
      <c r="L44" s="9"/>
      <c r="M44" s="2" t="str">
        <f t="shared" si="4"/>
        <v/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9"/>
      <c r="B45" s="10"/>
      <c r="C45" s="9"/>
      <c r="D45" s="9"/>
      <c r="E45" s="18"/>
      <c r="F45" s="13" t="str">
        <f>IF(E45="RWF",SUMIF('Exch. rate'!A:A,'Expenses report'!C45,'Exch. rate'!B:B),IF(E45="EUR",1,""))</f>
        <v/>
      </c>
      <c r="G45" s="14" t="str">
        <f t="shared" si="5"/>
        <v/>
      </c>
      <c r="H45" s="10"/>
      <c r="I45" s="10"/>
      <c r="J45" s="9"/>
      <c r="K45" s="9"/>
      <c r="L45" s="9"/>
      <c r="M45" s="2" t="str">
        <f t="shared" si="4"/>
        <v/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9"/>
      <c r="B46" s="10"/>
      <c r="C46" s="9"/>
      <c r="D46" s="9"/>
      <c r="E46" s="18"/>
      <c r="F46" s="13" t="str">
        <f>IF(E46="RWF",SUMIF('Exch. rate'!A:A,'Expenses report'!C46,'Exch. rate'!B:B),IF(E46="EUR",1,""))</f>
        <v/>
      </c>
      <c r="G46" s="14" t="str">
        <f t="shared" si="5"/>
        <v/>
      </c>
      <c r="H46" s="10"/>
      <c r="I46" s="10"/>
      <c r="J46" s="9"/>
      <c r="K46" s="9"/>
      <c r="L46" s="9"/>
      <c r="M46" s="2" t="str">
        <f t="shared" si="4"/>
        <v/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9"/>
      <c r="B47" s="10"/>
      <c r="C47" s="9"/>
      <c r="D47" s="9"/>
      <c r="E47" s="18"/>
      <c r="F47" s="13" t="str">
        <f>IF(E47="RWF",SUMIF('Exch. rate'!A:A,'Expenses report'!C47,'Exch. rate'!B:B),IF(E47="EUR",1,""))</f>
        <v/>
      </c>
      <c r="G47" s="14" t="str">
        <f t="shared" si="5"/>
        <v/>
      </c>
      <c r="H47" s="10"/>
      <c r="I47" s="10"/>
      <c r="J47" s="9"/>
      <c r="K47" s="9"/>
      <c r="L47" s="9"/>
      <c r="M47" s="2" t="str">
        <f t="shared" si="4"/>
        <v/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9"/>
      <c r="B48" s="10"/>
      <c r="C48" s="9"/>
      <c r="D48" s="9"/>
      <c r="E48" s="18"/>
      <c r="F48" s="13" t="str">
        <f>IF(E48="RWF",SUMIF('Exch. rate'!A:A,'Expenses report'!C48,'Exch. rate'!B:B),IF(E48="EUR",1,""))</f>
        <v/>
      </c>
      <c r="G48" s="14" t="str">
        <f t="shared" si="5"/>
        <v/>
      </c>
      <c r="H48" s="10"/>
      <c r="I48" s="10"/>
      <c r="J48" s="9"/>
      <c r="K48" s="9"/>
      <c r="L48" s="9"/>
      <c r="M48" s="2" t="str">
        <f t="shared" si="4"/>
        <v/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9"/>
      <c r="B49" s="10"/>
      <c r="C49" s="9"/>
      <c r="D49" s="9"/>
      <c r="E49" s="18"/>
      <c r="F49" s="13" t="str">
        <f>IF(E49="RWF",SUMIF('Exch. rate'!A:A,'Expenses report'!C49,'Exch. rate'!B:B),IF(E49="EUR",1,""))</f>
        <v/>
      </c>
      <c r="G49" s="14" t="str">
        <f t="shared" si="5"/>
        <v/>
      </c>
      <c r="H49" s="10"/>
      <c r="I49" s="10"/>
      <c r="J49" s="9"/>
      <c r="K49" s="9"/>
      <c r="L49" s="9"/>
      <c r="M49" s="2" t="str">
        <f t="shared" si="4"/>
        <v/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9"/>
      <c r="B50" s="10"/>
      <c r="C50" s="9"/>
      <c r="D50" s="9"/>
      <c r="E50" s="18"/>
      <c r="F50" s="13" t="str">
        <f>IF(E50="RWF",SUMIF('Exch. rate'!A:A,'Expenses report'!C50,'Exch. rate'!B:B),IF(E50="EUR",1,""))</f>
        <v/>
      </c>
      <c r="G50" s="14" t="str">
        <f t="shared" si="5"/>
        <v/>
      </c>
      <c r="H50" s="10"/>
      <c r="I50" s="10"/>
      <c r="J50" s="9"/>
      <c r="K50" s="9"/>
      <c r="L50" s="9"/>
      <c r="M50" s="2" t="str">
        <f t="shared" si="4"/>
        <v/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9"/>
      <c r="B51" s="10"/>
      <c r="C51" s="9"/>
      <c r="D51" s="9"/>
      <c r="E51" s="18"/>
      <c r="F51" s="13" t="str">
        <f>IF(E51="RWF",SUMIF('Exch. rate'!A:A,'Expenses report'!C51,'Exch. rate'!B:B),IF(E51="EUR",1,""))</f>
        <v/>
      </c>
      <c r="G51" s="14" t="str">
        <f t="shared" si="5"/>
        <v/>
      </c>
      <c r="H51" s="10"/>
      <c r="I51" s="10"/>
      <c r="J51" s="9"/>
      <c r="K51" s="9"/>
      <c r="L51" s="9"/>
      <c r="M51" s="2" t="str">
        <f t="shared" si="4"/>
        <v/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9"/>
      <c r="B52" s="10"/>
      <c r="C52" s="9"/>
      <c r="D52" s="9"/>
      <c r="E52" s="18"/>
      <c r="F52" s="13" t="str">
        <f>IF(E52="RWF",SUMIF('Exch. rate'!A:A,'Expenses report'!C52,'Exch. rate'!B:B),IF(E52="EUR",1,""))</f>
        <v/>
      </c>
      <c r="G52" s="14" t="str">
        <f t="shared" si="5"/>
        <v/>
      </c>
      <c r="H52" s="10"/>
      <c r="I52" s="10"/>
      <c r="J52" s="9"/>
      <c r="K52" s="9"/>
      <c r="L52" s="9"/>
      <c r="M52" s="2" t="str">
        <f t="shared" si="4"/>
        <v/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9"/>
      <c r="B53" s="10"/>
      <c r="C53" s="9"/>
      <c r="D53" s="9"/>
      <c r="E53" s="18"/>
      <c r="F53" s="13" t="str">
        <f>IF(E53="RWF",SUMIF('Exch. rate'!A:A,'Expenses report'!C53,'Exch. rate'!B:B),IF(E53="EUR",1,""))</f>
        <v/>
      </c>
      <c r="G53" s="14" t="str">
        <f t="shared" si="5"/>
        <v/>
      </c>
      <c r="H53" s="10"/>
      <c r="I53" s="10"/>
      <c r="J53" s="9"/>
      <c r="K53" s="9"/>
      <c r="L53" s="9"/>
      <c r="M53" s="2" t="str">
        <f t="shared" si="4"/>
        <v/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9"/>
      <c r="B54" s="10"/>
      <c r="C54" s="9"/>
      <c r="D54" s="9"/>
      <c r="E54" s="18"/>
      <c r="F54" s="13" t="str">
        <f>IF(E54="RWF",SUMIF('Exch. rate'!A:A,'Expenses report'!C54,'Exch. rate'!B:B),IF(E54="EUR",1,""))</f>
        <v/>
      </c>
      <c r="G54" s="14" t="str">
        <f t="shared" si="5"/>
        <v/>
      </c>
      <c r="H54" s="10"/>
      <c r="I54" s="10"/>
      <c r="J54" s="9"/>
      <c r="K54" s="9"/>
      <c r="L54" s="9"/>
      <c r="M54" s="2" t="str">
        <f t="shared" si="4"/>
        <v/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9"/>
      <c r="B55" s="10"/>
      <c r="C55" s="9"/>
      <c r="D55" s="9"/>
      <c r="E55" s="18"/>
      <c r="F55" s="13" t="str">
        <f>IF(E55="RWF",SUMIF('Exch. rate'!A:A,'Expenses report'!C55,'Exch. rate'!B:B),IF(E55="EUR",1,""))</f>
        <v/>
      </c>
      <c r="G55" s="14" t="str">
        <f t="shared" si="5"/>
        <v/>
      </c>
      <c r="H55" s="10"/>
      <c r="I55" s="10"/>
      <c r="J55" s="9"/>
      <c r="K55" s="9"/>
      <c r="L55" s="9"/>
      <c r="M55" s="2" t="str">
        <f t="shared" si="4"/>
        <v/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9"/>
      <c r="B56" s="10"/>
      <c r="C56" s="9"/>
      <c r="D56" s="9"/>
      <c r="E56" s="18"/>
      <c r="F56" s="13" t="str">
        <f>IF(E56="RWF",SUMIF('Exch. rate'!A:A,'Expenses report'!C56,'Exch. rate'!B:B),IF(E56="EUR",1,""))</f>
        <v/>
      </c>
      <c r="G56" s="14" t="str">
        <f t="shared" si="5"/>
        <v/>
      </c>
      <c r="H56" s="10"/>
      <c r="I56" s="10"/>
      <c r="J56" s="9"/>
      <c r="K56" s="9"/>
      <c r="L56" s="9"/>
      <c r="M56" s="2" t="str">
        <f t="shared" si="4"/>
        <v/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9"/>
      <c r="B57" s="10"/>
      <c r="C57" s="9"/>
      <c r="D57" s="9"/>
      <c r="E57" s="18"/>
      <c r="F57" s="13" t="str">
        <f>IF(E57="RWF",SUMIF('Exch. rate'!A:A,'Expenses report'!C57,'Exch. rate'!B:B),IF(E57="EUR",1,""))</f>
        <v/>
      </c>
      <c r="G57" s="14" t="str">
        <f t="shared" si="5"/>
        <v/>
      </c>
      <c r="H57" s="10"/>
      <c r="I57" s="10"/>
      <c r="J57" s="9"/>
      <c r="K57" s="9"/>
      <c r="L57" s="9"/>
      <c r="M57" s="2" t="str">
        <f t="shared" si="4"/>
        <v/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9"/>
      <c r="B58" s="10"/>
      <c r="C58" s="9"/>
      <c r="D58" s="9"/>
      <c r="E58" s="18"/>
      <c r="F58" s="13" t="str">
        <f>IF(E58="RWF",SUMIF('Exch. rate'!A:A,'Expenses report'!C58,'Exch. rate'!B:B),IF(E58="EUR",1,""))</f>
        <v/>
      </c>
      <c r="G58" s="14" t="str">
        <f t="shared" si="5"/>
        <v/>
      </c>
      <c r="H58" s="10"/>
      <c r="I58" s="10"/>
      <c r="J58" s="9"/>
      <c r="K58" s="9"/>
      <c r="L58" s="9"/>
      <c r="M58" s="2" t="str">
        <f t="shared" si="4"/>
        <v/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9"/>
      <c r="B59" s="10"/>
      <c r="C59" s="9"/>
      <c r="D59" s="9"/>
      <c r="E59" s="18"/>
      <c r="F59" s="13" t="str">
        <f>IF(E59="RWF",SUMIF('Exch. rate'!A:A,'Expenses report'!C59,'Exch. rate'!B:B),IF(E59="EUR",1,""))</f>
        <v/>
      </c>
      <c r="G59" s="14" t="str">
        <f t="shared" si="5"/>
        <v/>
      </c>
      <c r="H59" s="10"/>
      <c r="I59" s="10"/>
      <c r="J59" s="9"/>
      <c r="K59" s="9"/>
      <c r="L59" s="9"/>
      <c r="M59" s="2" t="str">
        <f t="shared" si="4"/>
        <v/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9"/>
      <c r="B60" s="10"/>
      <c r="C60" s="9"/>
      <c r="D60" s="9"/>
      <c r="E60" s="18"/>
      <c r="F60" s="13" t="str">
        <f>IF(E60="RWF",SUMIF('Exch. rate'!A:A,'Expenses report'!C60,'Exch. rate'!B:B),IF(E60="EUR",1,""))</f>
        <v/>
      </c>
      <c r="G60" s="14" t="str">
        <f t="shared" si="5"/>
        <v/>
      </c>
      <c r="H60" s="10"/>
      <c r="I60" s="10"/>
      <c r="J60" s="9"/>
      <c r="K60" s="9"/>
      <c r="L60" s="9"/>
      <c r="M60" s="2" t="str">
        <f t="shared" si="4"/>
        <v/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9"/>
      <c r="B61" s="10"/>
      <c r="C61" s="9"/>
      <c r="D61" s="9"/>
      <c r="E61" s="18"/>
      <c r="F61" s="13" t="str">
        <f>IF(E61="RWF",SUMIF('Exch. rate'!A:A,'Expenses report'!C61,'Exch. rate'!B:B),IF(E61="EUR",1,""))</f>
        <v/>
      </c>
      <c r="G61" s="14" t="str">
        <f t="shared" si="5"/>
        <v/>
      </c>
      <c r="H61" s="10"/>
      <c r="I61" s="10"/>
      <c r="J61" s="9"/>
      <c r="K61" s="9"/>
      <c r="L61" s="9"/>
      <c r="M61" s="2" t="str">
        <f t="shared" si="4"/>
        <v/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9"/>
      <c r="B62" s="10"/>
      <c r="C62" s="9"/>
      <c r="D62" s="9"/>
      <c r="E62" s="18"/>
      <c r="F62" s="13" t="str">
        <f>IF(E62="RWF",SUMIF('Exch. rate'!A:A,'Expenses report'!C62,'Exch. rate'!B:B),IF(E62="EUR",1,""))</f>
        <v/>
      </c>
      <c r="G62" s="14" t="str">
        <f t="shared" si="5"/>
        <v/>
      </c>
      <c r="H62" s="10"/>
      <c r="I62" s="10"/>
      <c r="J62" s="9"/>
      <c r="K62" s="9"/>
      <c r="L62" s="9"/>
      <c r="M62" s="2" t="str">
        <f t="shared" si="4"/>
        <v/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9"/>
      <c r="B63" s="10"/>
      <c r="C63" s="9"/>
      <c r="D63" s="9"/>
      <c r="E63" s="18"/>
      <c r="F63" s="13" t="str">
        <f>IF(E63="RWF",SUMIF('Exch. rate'!A:A,'Expenses report'!C63,'Exch. rate'!B:B),IF(E63="EUR",1,""))</f>
        <v/>
      </c>
      <c r="G63" s="14" t="str">
        <f t="shared" si="5"/>
        <v/>
      </c>
      <c r="H63" s="10"/>
      <c r="I63" s="10"/>
      <c r="J63" s="9"/>
      <c r="K63" s="9"/>
      <c r="L63" s="9"/>
      <c r="M63" s="2" t="str">
        <f t="shared" si="4"/>
        <v/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9"/>
      <c r="B64" s="10"/>
      <c r="C64" s="9"/>
      <c r="D64" s="9"/>
      <c r="E64" s="18"/>
      <c r="F64" s="13" t="str">
        <f>IF(E64="RWF",SUMIF('Exch. rate'!A:A,'Expenses report'!C64,'Exch. rate'!B:B),IF(E64="EUR",1,""))</f>
        <v/>
      </c>
      <c r="G64" s="14" t="str">
        <f t="shared" si="5"/>
        <v/>
      </c>
      <c r="H64" s="10"/>
      <c r="I64" s="10"/>
      <c r="J64" s="9"/>
      <c r="K64" s="9"/>
      <c r="L64" s="9"/>
      <c r="M64" s="2" t="str">
        <f t="shared" si="4"/>
        <v/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9"/>
      <c r="B65" s="10"/>
      <c r="C65" s="9"/>
      <c r="D65" s="9"/>
      <c r="E65" s="18"/>
      <c r="F65" s="13" t="str">
        <f>IF(E65="RWF",SUMIF('Exch. rate'!A:A,'Expenses report'!C65,'Exch. rate'!B:B),IF(E65="EUR",1,""))</f>
        <v/>
      </c>
      <c r="G65" s="14" t="str">
        <f t="shared" si="5"/>
        <v/>
      </c>
      <c r="H65" s="10"/>
      <c r="I65" s="10"/>
      <c r="J65" s="9"/>
      <c r="K65" s="9"/>
      <c r="L65" s="9"/>
      <c r="M65" s="2" t="str">
        <f t="shared" si="4"/>
        <v/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9"/>
      <c r="B66" s="10"/>
      <c r="C66" s="9"/>
      <c r="D66" s="9"/>
      <c r="E66" s="18"/>
      <c r="F66" s="13" t="str">
        <f>IF(E66="RWF",SUMIF('Exch. rate'!A:A,'Expenses report'!C66,'Exch. rate'!B:B),IF(E66="EUR",1,""))</f>
        <v/>
      </c>
      <c r="G66" s="14" t="str">
        <f t="shared" si="5"/>
        <v/>
      </c>
      <c r="H66" s="10"/>
      <c r="I66" s="10"/>
      <c r="J66" s="9"/>
      <c r="K66" s="9"/>
      <c r="L66" s="9"/>
      <c r="M66" s="2" t="str">
        <f t="shared" si="4"/>
        <v/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9"/>
      <c r="B67" s="10"/>
      <c r="C67" s="9"/>
      <c r="D67" s="9"/>
      <c r="E67" s="18"/>
      <c r="F67" s="13" t="str">
        <f>IF(E67="RWF",SUMIF('Exch. rate'!A:A,'Expenses report'!C67,'Exch. rate'!B:B),IF(E67="EUR",1,""))</f>
        <v/>
      </c>
      <c r="G67" s="14" t="str">
        <f t="shared" si="5"/>
        <v/>
      </c>
      <c r="H67" s="10"/>
      <c r="I67" s="10"/>
      <c r="J67" s="9"/>
      <c r="K67" s="9"/>
      <c r="L67" s="9"/>
      <c r="M67" s="2" t="str">
        <f t="shared" si="4"/>
        <v/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9"/>
      <c r="B68" s="10"/>
      <c r="C68" s="9"/>
      <c r="D68" s="9"/>
      <c r="E68" s="18"/>
      <c r="F68" s="13" t="str">
        <f>IF(E68="RWF",SUMIF('Exch. rate'!A:A,'Expenses report'!C68,'Exch. rate'!B:B),IF(E68="EUR",1,""))</f>
        <v/>
      </c>
      <c r="G68" s="14" t="str">
        <f t="shared" si="5"/>
        <v/>
      </c>
      <c r="H68" s="10"/>
      <c r="I68" s="10"/>
      <c r="J68" s="9"/>
      <c r="K68" s="9"/>
      <c r="L68" s="9"/>
      <c r="M68" s="2" t="str">
        <f t="shared" si="4"/>
        <v/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9"/>
      <c r="B69" s="10"/>
      <c r="C69" s="9"/>
      <c r="D69" s="9"/>
      <c r="E69" s="18"/>
      <c r="F69" s="13" t="str">
        <f>IF(E69="RWF",SUMIF('Exch. rate'!A:A,'Expenses report'!C69,'Exch. rate'!B:B),IF(E69="EUR",1,""))</f>
        <v/>
      </c>
      <c r="G69" s="14" t="str">
        <f t="shared" si="5"/>
        <v/>
      </c>
      <c r="H69" s="10"/>
      <c r="I69" s="10"/>
      <c r="J69" s="9"/>
      <c r="K69" s="9"/>
      <c r="L69" s="9"/>
      <c r="M69" s="2" t="str">
        <f t="shared" si="4"/>
        <v/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9"/>
      <c r="B70" s="10"/>
      <c r="C70" s="9"/>
      <c r="D70" s="9"/>
      <c r="E70" s="18"/>
      <c r="F70" s="13" t="str">
        <f>IF(E70="RWF",SUMIF('Exch. rate'!A:A,'Expenses report'!C70,'Exch. rate'!B:B),IF(E70="EUR",1,""))</f>
        <v/>
      </c>
      <c r="G70" s="14" t="str">
        <f t="shared" si="5"/>
        <v/>
      </c>
      <c r="H70" s="10"/>
      <c r="I70" s="10"/>
      <c r="J70" s="9"/>
      <c r="K70" s="9"/>
      <c r="L70" s="9"/>
      <c r="M70" s="2" t="str">
        <f t="shared" si="4"/>
        <v/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9"/>
      <c r="B71" s="10"/>
      <c r="C71" s="9"/>
      <c r="D71" s="9"/>
      <c r="E71" s="18"/>
      <c r="F71" s="13" t="str">
        <f>IF(E71="RWF",SUMIF('Exch. rate'!A:A,'Expenses report'!C71,'Exch. rate'!B:B),IF(E71="EUR",1,""))</f>
        <v/>
      </c>
      <c r="G71" s="14" t="str">
        <f t="shared" si="5"/>
        <v/>
      </c>
      <c r="H71" s="10"/>
      <c r="I71" s="10"/>
      <c r="J71" s="9"/>
      <c r="K71" s="9"/>
      <c r="L71" s="9"/>
      <c r="M71" s="2" t="str">
        <f t="shared" si="4"/>
        <v/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9"/>
      <c r="B72" s="10"/>
      <c r="C72" s="9"/>
      <c r="D72" s="9"/>
      <c r="E72" s="18"/>
      <c r="F72" s="13" t="str">
        <f>IF(E72="RWF",SUMIF('Exch. rate'!A:A,'Expenses report'!C72,'Exch. rate'!B:B),IF(E72="EUR",1,""))</f>
        <v/>
      </c>
      <c r="G72" s="14" t="str">
        <f t="shared" si="5"/>
        <v/>
      </c>
      <c r="H72" s="10"/>
      <c r="I72" s="10"/>
      <c r="J72" s="9"/>
      <c r="K72" s="9"/>
      <c r="L72" s="9"/>
      <c r="M72" s="2" t="str">
        <f t="shared" si="4"/>
        <v/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9"/>
      <c r="B73" s="10"/>
      <c r="C73" s="9"/>
      <c r="D73" s="9"/>
      <c r="E73" s="18"/>
      <c r="F73" s="13" t="str">
        <f>IF(E73="RWF",SUMIF('Exch. rate'!A:A,'Expenses report'!C73,'Exch. rate'!B:B),IF(E73="EUR",1,""))</f>
        <v/>
      </c>
      <c r="G73" s="14" t="str">
        <f t="shared" si="5"/>
        <v/>
      </c>
      <c r="H73" s="10"/>
      <c r="I73" s="10"/>
      <c r="J73" s="9"/>
      <c r="K73" s="9"/>
      <c r="L73" s="9"/>
      <c r="M73" s="2" t="str">
        <f t="shared" si="4"/>
        <v/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9"/>
      <c r="B74" s="10"/>
      <c r="C74" s="9"/>
      <c r="D74" s="9"/>
      <c r="E74" s="18"/>
      <c r="F74" s="13" t="str">
        <f>IF(E74="RWF",SUMIF('Exch. rate'!A:A,'Expenses report'!C74,'Exch. rate'!B:B),IF(E74="EUR",1,""))</f>
        <v/>
      </c>
      <c r="G74" s="14" t="str">
        <f t="shared" si="5"/>
        <v/>
      </c>
      <c r="H74" s="10"/>
      <c r="I74" s="10"/>
      <c r="J74" s="9"/>
      <c r="K74" s="9"/>
      <c r="L74" s="9"/>
      <c r="M74" s="2" t="str">
        <f t="shared" si="4"/>
        <v/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9"/>
      <c r="B75" s="10"/>
      <c r="C75" s="9"/>
      <c r="D75" s="9"/>
      <c r="E75" s="18"/>
      <c r="F75" s="13" t="str">
        <f>IF(E75="RWF",SUMIF('Exch. rate'!A:A,'Expenses report'!C75,'Exch. rate'!B:B),IF(E75="EUR",1,""))</f>
        <v/>
      </c>
      <c r="G75" s="14" t="str">
        <f t="shared" si="5"/>
        <v/>
      </c>
      <c r="H75" s="10"/>
      <c r="I75" s="10"/>
      <c r="J75" s="9"/>
      <c r="K75" s="9"/>
      <c r="L75" s="9"/>
      <c r="M75" s="2" t="str">
        <f t="shared" si="4"/>
        <v/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9"/>
      <c r="B76" s="10"/>
      <c r="C76" s="9"/>
      <c r="D76" s="9"/>
      <c r="E76" s="18"/>
      <c r="F76" s="13" t="str">
        <f>IF(E76="RWF",SUMIF('Exch. rate'!A:A,'Expenses report'!C76,'Exch. rate'!B:B),IF(E76="EUR",1,""))</f>
        <v/>
      </c>
      <c r="G76" s="14" t="str">
        <f t="shared" si="5"/>
        <v/>
      </c>
      <c r="H76" s="10"/>
      <c r="I76" s="10"/>
      <c r="J76" s="9"/>
      <c r="K76" s="9"/>
      <c r="L76" s="9"/>
      <c r="M76" s="2" t="str">
        <f t="shared" si="4"/>
        <v/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9"/>
      <c r="B77" s="10"/>
      <c r="C77" s="9"/>
      <c r="D77" s="9"/>
      <c r="E77" s="18"/>
      <c r="F77" s="13" t="str">
        <f>IF(E77="RWF",SUMIF('Exch. rate'!A:A,'Expenses report'!C77,'Exch. rate'!B:B),IF(E77="EUR",1,""))</f>
        <v/>
      </c>
      <c r="G77" s="14" t="str">
        <f t="shared" si="5"/>
        <v/>
      </c>
      <c r="H77" s="10"/>
      <c r="I77" s="10"/>
      <c r="J77" s="9"/>
      <c r="K77" s="9"/>
      <c r="L77" s="9"/>
      <c r="M77" s="2" t="str">
        <f t="shared" si="4"/>
        <v/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9"/>
      <c r="B78" s="10"/>
      <c r="C78" s="9"/>
      <c r="D78" s="9"/>
      <c r="E78" s="18"/>
      <c r="F78" s="13" t="str">
        <f>IF(E78="RWF",SUMIF('Exch. rate'!A:A,'Expenses report'!C78,'Exch. rate'!B:B),IF(E78="EUR",1,""))</f>
        <v/>
      </c>
      <c r="G78" s="14" t="str">
        <f t="shared" si="5"/>
        <v/>
      </c>
      <c r="H78" s="10"/>
      <c r="I78" s="10"/>
      <c r="J78" s="9"/>
      <c r="K78" s="9"/>
      <c r="L78" s="9"/>
      <c r="M78" s="2" t="str">
        <f t="shared" si="4"/>
        <v/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9"/>
      <c r="B79" s="10"/>
      <c r="C79" s="9"/>
      <c r="D79" s="9"/>
      <c r="E79" s="18"/>
      <c r="F79" s="13" t="str">
        <f>IF(E79="RWF",SUMIF('Exch. rate'!A:A,'Expenses report'!C79,'Exch. rate'!B:B),IF(E79="EUR",1,""))</f>
        <v/>
      </c>
      <c r="G79" s="14" t="str">
        <f t="shared" si="5"/>
        <v/>
      </c>
      <c r="H79" s="10"/>
      <c r="I79" s="10"/>
      <c r="J79" s="9"/>
      <c r="K79" s="9"/>
      <c r="L79" s="9"/>
      <c r="M79" s="2" t="str">
        <f t="shared" si="4"/>
        <v/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9"/>
      <c r="B80" s="10"/>
      <c r="C80" s="9"/>
      <c r="D80" s="9"/>
      <c r="E80" s="18"/>
      <c r="F80" s="13" t="str">
        <f>IF(E80="RWF",SUMIF('Exch. rate'!A:A,'Expenses report'!C80,'Exch. rate'!B:B),IF(E80="EUR",1,""))</f>
        <v/>
      </c>
      <c r="G80" s="14" t="str">
        <f t="shared" si="5"/>
        <v/>
      </c>
      <c r="H80" s="10"/>
      <c r="I80" s="10"/>
      <c r="J80" s="9"/>
      <c r="K80" s="9"/>
      <c r="L80" s="9"/>
      <c r="M80" s="2" t="str">
        <f t="shared" si="4"/>
        <v/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9"/>
      <c r="B81" s="10"/>
      <c r="C81" s="9"/>
      <c r="D81" s="9"/>
      <c r="E81" s="18"/>
      <c r="F81" s="13" t="str">
        <f>IF(E81="RWF",SUMIF('Exch. rate'!A:A,'Expenses report'!C81,'Exch. rate'!B:B),IF(E81="EUR",1,""))</f>
        <v/>
      </c>
      <c r="G81" s="14" t="str">
        <f t="shared" si="5"/>
        <v/>
      </c>
      <c r="H81" s="10"/>
      <c r="I81" s="10"/>
      <c r="J81" s="9"/>
      <c r="K81" s="9"/>
      <c r="L81" s="9"/>
      <c r="M81" s="2" t="str">
        <f t="shared" si="4"/>
        <v/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9"/>
      <c r="B82" s="10"/>
      <c r="C82" s="9"/>
      <c r="D82" s="9"/>
      <c r="E82" s="18"/>
      <c r="F82" s="13" t="str">
        <f>IF(E82="RWF",SUMIF('Exch. rate'!A:A,'Expenses report'!C82,'Exch. rate'!B:B),IF(E82="EUR",1,""))</f>
        <v/>
      </c>
      <c r="G82" s="14" t="str">
        <f t="shared" si="5"/>
        <v/>
      </c>
      <c r="H82" s="10"/>
      <c r="I82" s="10"/>
      <c r="J82" s="9"/>
      <c r="K82" s="9"/>
      <c r="L82" s="9"/>
      <c r="M82" s="2" t="str">
        <f t="shared" si="4"/>
        <v/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9"/>
      <c r="B83" s="10"/>
      <c r="C83" s="9"/>
      <c r="D83" s="9"/>
      <c r="E83" s="18"/>
      <c r="F83" s="13" t="str">
        <f>IF(E83="RWF",SUMIF('Exch. rate'!A:A,'Expenses report'!C83,'Exch. rate'!B:B),IF(E83="EUR",1,""))</f>
        <v/>
      </c>
      <c r="G83" s="14" t="str">
        <f t="shared" si="5"/>
        <v/>
      </c>
      <c r="H83" s="10"/>
      <c r="I83" s="10"/>
      <c r="J83" s="9"/>
      <c r="K83" s="9"/>
      <c r="L83" s="9"/>
      <c r="M83" s="2" t="str">
        <f t="shared" si="4"/>
        <v/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9"/>
      <c r="B84" s="10"/>
      <c r="C84" s="9"/>
      <c r="D84" s="9"/>
      <c r="E84" s="18"/>
      <c r="F84" s="13" t="str">
        <f>IF(E84="RWF",SUMIF('Exch. rate'!A:A,'Expenses report'!C84,'Exch. rate'!B:B),IF(E84="EUR",1,""))</f>
        <v/>
      </c>
      <c r="G84" s="14" t="str">
        <f t="shared" si="5"/>
        <v/>
      </c>
      <c r="H84" s="10"/>
      <c r="I84" s="10"/>
      <c r="J84" s="9"/>
      <c r="K84" s="9"/>
      <c r="L84" s="9"/>
      <c r="M84" s="2" t="str">
        <f t="shared" si="4"/>
        <v/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9"/>
      <c r="B85" s="10"/>
      <c r="C85" s="9"/>
      <c r="D85" s="9"/>
      <c r="E85" s="18"/>
      <c r="F85" s="13" t="str">
        <f>IF(E85="RWF",SUMIF('Exch. rate'!A:A,'Expenses report'!C85,'Exch. rate'!B:B),IF(E85="EUR",1,""))</f>
        <v/>
      </c>
      <c r="G85" s="14" t="str">
        <f t="shared" si="5"/>
        <v/>
      </c>
      <c r="H85" s="10"/>
      <c r="I85" s="10"/>
      <c r="J85" s="9"/>
      <c r="K85" s="9"/>
      <c r="L85" s="9"/>
      <c r="M85" s="2" t="str">
        <f t="shared" si="4"/>
        <v/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9"/>
      <c r="B86" s="10"/>
      <c r="C86" s="9"/>
      <c r="D86" s="9"/>
      <c r="E86" s="18"/>
      <c r="F86" s="13" t="str">
        <f>IF(E86="RWF",SUMIF('Exch. rate'!A:A,'Expenses report'!C86,'Exch. rate'!B:B),IF(E86="EUR",1,""))</f>
        <v/>
      </c>
      <c r="G86" s="14" t="str">
        <f t="shared" si="5"/>
        <v/>
      </c>
      <c r="H86" s="10"/>
      <c r="I86" s="10"/>
      <c r="J86" s="9"/>
      <c r="K86" s="9"/>
      <c r="L86" s="9"/>
      <c r="M86" s="2" t="str">
        <f t="shared" si="4"/>
        <v/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9"/>
      <c r="B87" s="10"/>
      <c r="C87" s="9"/>
      <c r="D87" s="9"/>
      <c r="E87" s="18"/>
      <c r="F87" s="13" t="str">
        <f>IF(E87="RWF",SUMIF('Exch. rate'!A:A,'Expenses report'!C87,'Exch. rate'!B:B),IF(E87="EUR",1,""))</f>
        <v/>
      </c>
      <c r="G87" s="14" t="str">
        <f t="shared" si="5"/>
        <v/>
      </c>
      <c r="H87" s="10"/>
      <c r="I87" s="10"/>
      <c r="J87" s="9"/>
      <c r="K87" s="9"/>
      <c r="L87" s="9"/>
      <c r="M87" s="2" t="str">
        <f t="shared" si="4"/>
        <v/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9"/>
      <c r="B88" s="10"/>
      <c r="C88" s="9"/>
      <c r="D88" s="9"/>
      <c r="E88" s="18"/>
      <c r="F88" s="13" t="str">
        <f>IF(E88="RWF",SUMIF('Exch. rate'!A:A,'Expenses report'!C88,'Exch. rate'!B:B),IF(E88="EUR",1,""))</f>
        <v/>
      </c>
      <c r="G88" s="14" t="str">
        <f t="shared" si="5"/>
        <v/>
      </c>
      <c r="H88" s="10"/>
      <c r="I88" s="10"/>
      <c r="J88" s="9"/>
      <c r="K88" s="9"/>
      <c r="L88" s="9"/>
      <c r="M88" s="2" t="str">
        <f t="shared" si="4"/>
        <v/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9"/>
      <c r="B89" s="10"/>
      <c r="C89" s="9"/>
      <c r="D89" s="9"/>
      <c r="E89" s="18"/>
      <c r="F89" s="13" t="str">
        <f>IF(E89="RWF",SUMIF('Exch. rate'!A:A,'Expenses report'!C89,'Exch. rate'!B:B),IF(E89="EUR",1,""))</f>
        <v/>
      </c>
      <c r="G89" s="14" t="str">
        <f t="shared" si="5"/>
        <v/>
      </c>
      <c r="H89" s="10"/>
      <c r="I89" s="10"/>
      <c r="J89" s="9"/>
      <c r="K89" s="9"/>
      <c r="L89" s="9"/>
      <c r="M89" s="2" t="str">
        <f t="shared" si="4"/>
        <v/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9"/>
      <c r="B90" s="10"/>
      <c r="C90" s="9"/>
      <c r="D90" s="9"/>
      <c r="E90" s="18"/>
      <c r="F90" s="13" t="str">
        <f>IF(E90="RWF",SUMIF('Exch. rate'!A:A,'Expenses report'!C90,'Exch. rate'!B:B),IF(E90="EUR",1,""))</f>
        <v/>
      </c>
      <c r="G90" s="14" t="str">
        <f t="shared" si="5"/>
        <v/>
      </c>
      <c r="H90" s="10"/>
      <c r="I90" s="10"/>
      <c r="J90" s="9"/>
      <c r="K90" s="9"/>
      <c r="L90" s="9"/>
      <c r="M90" s="2" t="str">
        <f t="shared" si="4"/>
        <v/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9"/>
      <c r="B91" s="10"/>
      <c r="C91" s="9"/>
      <c r="D91" s="9"/>
      <c r="E91" s="18"/>
      <c r="F91" s="13" t="str">
        <f>IF(E91="RWF",SUMIF('Exch. rate'!A:A,'Expenses report'!C91,'Exch. rate'!B:B),IF(E91="EUR",1,""))</f>
        <v/>
      </c>
      <c r="G91" s="14" t="str">
        <f t="shared" si="5"/>
        <v/>
      </c>
      <c r="H91" s="10"/>
      <c r="I91" s="10"/>
      <c r="J91" s="9"/>
      <c r="K91" s="9"/>
      <c r="L91" s="9"/>
      <c r="M91" s="2" t="str">
        <f t="shared" si="4"/>
        <v/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9"/>
      <c r="B92" s="10"/>
      <c r="C92" s="9"/>
      <c r="D92" s="9"/>
      <c r="E92" s="18"/>
      <c r="F92" s="13" t="str">
        <f>IF(E92="RWF",SUMIF('Exch. rate'!A:A,'Expenses report'!C92,'Exch. rate'!B:B),IF(E92="EUR",1,""))</f>
        <v/>
      </c>
      <c r="G92" s="14" t="str">
        <f t="shared" si="5"/>
        <v/>
      </c>
      <c r="H92" s="10"/>
      <c r="I92" s="10"/>
      <c r="J92" s="9"/>
      <c r="K92" s="9"/>
      <c r="L92" s="9"/>
      <c r="M92" s="2" t="str">
        <f t="shared" si="4"/>
        <v/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9"/>
      <c r="B93" s="10"/>
      <c r="C93" s="9"/>
      <c r="D93" s="9"/>
      <c r="E93" s="18"/>
      <c r="F93" s="13" t="str">
        <f>IF(E93="RWF",SUMIF('Exch. rate'!A:A,'Expenses report'!C93,'Exch. rate'!B:B),IF(E93="EUR",1,""))</f>
        <v/>
      </c>
      <c r="G93" s="14" t="str">
        <f t="shared" si="5"/>
        <v/>
      </c>
      <c r="H93" s="10"/>
      <c r="I93" s="10"/>
      <c r="J93" s="9"/>
      <c r="K93" s="9"/>
      <c r="L93" s="9"/>
      <c r="M93" s="2" t="str">
        <f t="shared" si="4"/>
        <v/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9"/>
      <c r="B94" s="10"/>
      <c r="C94" s="9"/>
      <c r="D94" s="9"/>
      <c r="E94" s="18"/>
      <c r="F94" s="13" t="str">
        <f>IF(E94="RWF",SUMIF('Exch. rate'!A:A,'Expenses report'!C94,'Exch. rate'!B:B),IF(E94="EUR",1,""))</f>
        <v/>
      </c>
      <c r="G94" s="14" t="str">
        <f t="shared" si="5"/>
        <v/>
      </c>
      <c r="H94" s="10"/>
      <c r="I94" s="10"/>
      <c r="J94" s="9"/>
      <c r="K94" s="9"/>
      <c r="L94" s="9"/>
      <c r="M94" s="2" t="str">
        <f t="shared" si="4"/>
        <v/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9"/>
      <c r="B95" s="10"/>
      <c r="C95" s="9"/>
      <c r="D95" s="9"/>
      <c r="E95" s="18"/>
      <c r="F95" s="13" t="str">
        <f>IF(E95="RWF",SUMIF('Exch. rate'!A:A,'Expenses report'!C95,'Exch. rate'!B:B),IF(E95="EUR",1,""))</f>
        <v/>
      </c>
      <c r="G95" s="14" t="str">
        <f t="shared" si="5"/>
        <v/>
      </c>
      <c r="H95" s="10"/>
      <c r="I95" s="10"/>
      <c r="J95" s="9"/>
      <c r="K95" s="9"/>
      <c r="L95" s="9"/>
      <c r="M95" s="2" t="str">
        <f t="shared" si="4"/>
        <v/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9"/>
      <c r="B96" s="10"/>
      <c r="C96" s="9"/>
      <c r="D96" s="9"/>
      <c r="E96" s="18"/>
      <c r="F96" s="13" t="str">
        <f>IF(E96="RWF",SUMIF('Exch. rate'!A:A,'Expenses report'!C96,'Exch. rate'!B:B),IF(E96="EUR",1,""))</f>
        <v/>
      </c>
      <c r="G96" s="14" t="str">
        <f t="shared" si="5"/>
        <v/>
      </c>
      <c r="H96" s="10"/>
      <c r="I96" s="10"/>
      <c r="J96" s="9"/>
      <c r="K96" s="9"/>
      <c r="L96" s="9"/>
      <c r="M96" s="2" t="str">
        <f t="shared" si="4"/>
        <v/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9"/>
      <c r="B97" s="10"/>
      <c r="C97" s="9"/>
      <c r="D97" s="9"/>
      <c r="E97" s="18"/>
      <c r="F97" s="13" t="str">
        <f>IF(E97="RWF",SUMIF('Exch. rate'!A:A,'Expenses report'!C97,'Exch. rate'!B:B),IF(E97="EUR",1,""))</f>
        <v/>
      </c>
      <c r="G97" s="14" t="str">
        <f t="shared" si="5"/>
        <v/>
      </c>
      <c r="H97" s="10"/>
      <c r="I97" s="10"/>
      <c r="J97" s="9"/>
      <c r="K97" s="9"/>
      <c r="L97" s="9"/>
      <c r="M97" s="2" t="str">
        <f t="shared" si="4"/>
        <v/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9"/>
      <c r="B98" s="10"/>
      <c r="C98" s="9"/>
      <c r="D98" s="9"/>
      <c r="E98" s="18"/>
      <c r="F98" s="13" t="str">
        <f>IF(E98="RWF",SUMIF('Exch. rate'!A:A,'Expenses report'!C98,'Exch. rate'!B:B),IF(E98="EUR",1,""))</f>
        <v/>
      </c>
      <c r="G98" s="14" t="str">
        <f t="shared" si="5"/>
        <v/>
      </c>
      <c r="H98" s="10"/>
      <c r="I98" s="10"/>
      <c r="J98" s="9"/>
      <c r="K98" s="9"/>
      <c r="L98" s="9"/>
      <c r="M98" s="2" t="str">
        <f t="shared" si="4"/>
        <v/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9"/>
      <c r="B99" s="10"/>
      <c r="C99" s="9"/>
      <c r="D99" s="9"/>
      <c r="E99" s="18"/>
      <c r="F99" s="13" t="str">
        <f>IF(E99="RWF",SUMIF('Exch. rate'!A:A,'Expenses report'!C99,'Exch. rate'!B:B),IF(E99="EUR",1,""))</f>
        <v/>
      </c>
      <c r="G99" s="14" t="str">
        <f t="shared" si="5"/>
        <v/>
      </c>
      <c r="H99" s="10"/>
      <c r="I99" s="10"/>
      <c r="J99" s="9"/>
      <c r="K99" s="9"/>
      <c r="L99" s="9"/>
      <c r="M99" s="2" t="str">
        <f t="shared" si="4"/>
        <v/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9"/>
      <c r="B100" s="10"/>
      <c r="C100" s="9"/>
      <c r="D100" s="9"/>
      <c r="E100" s="18"/>
      <c r="F100" s="13" t="str">
        <f>IF(E100="RWF",SUMIF('Exch. rate'!A:A,'Expenses report'!C100,'Exch. rate'!B:B),IF(E100="EUR",1,""))</f>
        <v/>
      </c>
      <c r="G100" s="14" t="str">
        <f t="shared" si="5"/>
        <v/>
      </c>
      <c r="H100" s="10"/>
      <c r="I100" s="10"/>
      <c r="J100" s="9"/>
      <c r="K100" s="9"/>
      <c r="L100" s="9"/>
      <c r="M100" s="2" t="str">
        <f t="shared" si="4"/>
        <v/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9"/>
      <c r="B101" s="10"/>
      <c r="C101" s="9"/>
      <c r="D101" s="9"/>
      <c r="E101" s="18"/>
      <c r="F101" s="13" t="str">
        <f>IF(E101="RWF",SUMIF('Exch. rate'!A:A,'Expenses report'!C101,'Exch. rate'!B:B),IF(E101="EUR",1,""))</f>
        <v/>
      </c>
      <c r="G101" s="14" t="str">
        <f t="shared" si="5"/>
        <v/>
      </c>
      <c r="H101" s="10"/>
      <c r="I101" s="10"/>
      <c r="J101" s="9"/>
      <c r="K101" s="9"/>
      <c r="L101" s="9"/>
      <c r="M101" s="2" t="str">
        <f t="shared" si="4"/>
        <v/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9"/>
      <c r="B102" s="10"/>
      <c r="C102" s="9"/>
      <c r="D102" s="9"/>
      <c r="E102" s="18"/>
      <c r="F102" s="13" t="str">
        <f>IF(E102="RWF",SUMIF('Exch. rate'!A:A,'Expenses report'!C102,'Exch. rate'!B:B),IF(E102="EUR",1,""))</f>
        <v/>
      </c>
      <c r="G102" s="14" t="str">
        <f t="shared" si="5"/>
        <v/>
      </c>
      <c r="H102" s="10"/>
      <c r="I102" s="10"/>
      <c r="J102" s="9"/>
      <c r="K102" s="9"/>
      <c r="L102" s="9"/>
      <c r="M102" s="2" t="str">
        <f t="shared" si="4"/>
        <v/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9"/>
      <c r="B103" s="10"/>
      <c r="C103" s="9"/>
      <c r="D103" s="9"/>
      <c r="E103" s="10"/>
      <c r="F103" s="13" t="str">
        <f>IF(E103="RWF",SUMIF('Exch. rate'!A:A,'Expenses report'!C103,'Exch. rate'!B:B),IF(E103="EUR",1,""))</f>
        <v/>
      </c>
      <c r="G103" s="14" t="str">
        <f t="shared" si="5"/>
        <v/>
      </c>
      <c r="H103" s="10"/>
      <c r="I103" s="10"/>
      <c r="J103" s="9"/>
      <c r="K103" s="9"/>
      <c r="L103" s="9"/>
      <c r="M103" s="2" t="str">
        <f t="shared" si="4"/>
        <v/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9"/>
      <c r="B104" s="10"/>
      <c r="C104" s="9"/>
      <c r="D104" s="9"/>
      <c r="E104" s="10"/>
      <c r="F104" s="13" t="str">
        <f>IF(E104="RWF",SUMIF('Exch. rate'!A:A,'Expenses report'!C104,'Exch. rate'!B:B),IF(E104="EUR",1,""))</f>
        <v/>
      </c>
      <c r="G104" s="14" t="str">
        <f t="shared" si="5"/>
        <v/>
      </c>
      <c r="H104" s="10"/>
      <c r="I104" s="10"/>
      <c r="J104" s="9"/>
      <c r="K104" s="9"/>
      <c r="L104" s="9"/>
      <c r="M104" s="2" t="str">
        <f t="shared" si="4"/>
        <v/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9"/>
      <c r="B105" s="10"/>
      <c r="C105" s="9"/>
      <c r="D105" s="9"/>
      <c r="E105" s="10"/>
      <c r="F105" s="13" t="str">
        <f>IF(E105="RWF",SUMIF('Exch. rate'!A:A,'Expenses report'!C105,'Exch. rate'!B:B),IF(E105="EUR",1,""))</f>
        <v/>
      </c>
      <c r="G105" s="14" t="str">
        <f t="shared" si="5"/>
        <v/>
      </c>
      <c r="H105" s="10"/>
      <c r="I105" s="10"/>
      <c r="J105" s="9"/>
      <c r="K105" s="9"/>
      <c r="L105" s="9"/>
      <c r="M105" s="2" t="str">
        <f t="shared" si="4"/>
        <v/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9"/>
      <c r="B106" s="10"/>
      <c r="C106" s="9"/>
      <c r="D106" s="9"/>
      <c r="E106" s="10"/>
      <c r="F106" s="13" t="str">
        <f>IF(E106="RWF",SUMIF('Exch. rate'!A:A,'Expenses report'!C106,'Exch. rate'!B:B),IF(E106="EUR",1,""))</f>
        <v/>
      </c>
      <c r="G106" s="14" t="str">
        <f t="shared" si="5"/>
        <v/>
      </c>
      <c r="H106" s="10"/>
      <c r="I106" s="10"/>
      <c r="J106" s="9"/>
      <c r="K106" s="9"/>
      <c r="L106" s="9"/>
      <c r="M106" s="2" t="str">
        <f t="shared" si="4"/>
        <v/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9"/>
      <c r="B107" s="10"/>
      <c r="C107" s="9"/>
      <c r="D107" s="9"/>
      <c r="E107" s="10"/>
      <c r="F107" s="13" t="str">
        <f>IF(E107="RWF",SUMIF('Exch. rate'!A:A,'Expenses report'!C107,'Exch. rate'!B:B),IF(E107="EUR",1,""))</f>
        <v/>
      </c>
      <c r="G107" s="14" t="str">
        <f t="shared" si="5"/>
        <v/>
      </c>
      <c r="H107" s="10"/>
      <c r="I107" s="10"/>
      <c r="J107" s="9"/>
      <c r="K107" s="9"/>
      <c r="L107" s="9"/>
      <c r="M107" s="2" t="str">
        <f t="shared" si="4"/>
        <v/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9"/>
      <c r="B108" s="10"/>
      <c r="C108" s="9"/>
      <c r="D108" s="9"/>
      <c r="E108" s="10"/>
      <c r="F108" s="13" t="str">
        <f>IF(E108="RWF",SUMIF('Exch. rate'!A:A,'Expenses report'!C108,'Exch. rate'!B:B),IF(E108="EUR",1,""))</f>
        <v/>
      </c>
      <c r="G108" s="14" t="str">
        <f t="shared" si="5"/>
        <v/>
      </c>
      <c r="H108" s="10"/>
      <c r="I108" s="10"/>
      <c r="J108" s="9"/>
      <c r="K108" s="9"/>
      <c r="L108" s="9"/>
      <c r="M108" s="2" t="str">
        <f t="shared" si="4"/>
        <v/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9"/>
      <c r="B109" s="10"/>
      <c r="C109" s="9"/>
      <c r="D109" s="9"/>
      <c r="E109" s="10"/>
      <c r="F109" s="13" t="str">
        <f>IF(E109="RWF",SUMIF('Exch. rate'!A:A,'Expenses report'!C109,'Exch. rate'!B:B),IF(E109="EUR",1,""))</f>
        <v/>
      </c>
      <c r="G109" s="14" t="str">
        <f t="shared" si="5"/>
        <v/>
      </c>
      <c r="H109" s="10"/>
      <c r="I109" s="10"/>
      <c r="J109" s="9"/>
      <c r="K109" s="9"/>
      <c r="L109" s="9"/>
      <c r="M109" s="2" t="str">
        <f t="shared" si="4"/>
        <v/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9"/>
      <c r="B110" s="10"/>
      <c r="C110" s="9"/>
      <c r="D110" s="9"/>
      <c r="E110" s="10"/>
      <c r="F110" s="13" t="str">
        <f>IF(E110="RWF",SUMIF('Exch. rate'!A:A,'Expenses report'!C110,'Exch. rate'!B:B),IF(E110="EUR",1,""))</f>
        <v/>
      </c>
      <c r="G110" s="14" t="str">
        <f t="shared" si="5"/>
        <v/>
      </c>
      <c r="H110" s="10"/>
      <c r="I110" s="10"/>
      <c r="J110" s="9"/>
      <c r="K110" s="9"/>
      <c r="L110" s="9"/>
      <c r="M110" s="2" t="str">
        <f t="shared" si="4"/>
        <v/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9"/>
      <c r="B111" s="10"/>
      <c r="C111" s="9"/>
      <c r="D111" s="9"/>
      <c r="E111" s="10"/>
      <c r="F111" s="13" t="str">
        <f>IF(E111="RWF",SUMIF('Exch. rate'!A:A,'Expenses report'!C111,'Exch. rate'!B:B),IF(E111="EUR",1,""))</f>
        <v/>
      </c>
      <c r="G111" s="14" t="str">
        <f t="shared" si="5"/>
        <v/>
      </c>
      <c r="H111" s="10"/>
      <c r="I111" s="10"/>
      <c r="J111" s="9"/>
      <c r="K111" s="9"/>
      <c r="L111" s="9"/>
      <c r="M111" s="2" t="str">
        <f t="shared" si="4"/>
        <v/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9"/>
      <c r="B112" s="10"/>
      <c r="C112" s="9"/>
      <c r="D112" s="9"/>
      <c r="E112" s="10"/>
      <c r="F112" s="13" t="str">
        <f>IF(E112="RWF",SUMIF('Exch. rate'!A:A,'Expenses report'!C112,'Exch. rate'!B:B),IF(E112="EUR",1,""))</f>
        <v/>
      </c>
      <c r="G112" s="14" t="str">
        <f t="shared" si="5"/>
        <v/>
      </c>
      <c r="H112" s="10"/>
      <c r="I112" s="10"/>
      <c r="J112" s="9"/>
      <c r="K112" s="9"/>
      <c r="L112" s="9"/>
      <c r="M112" s="2" t="str">
        <f t="shared" si="4"/>
        <v/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9"/>
      <c r="B113" s="10"/>
      <c r="C113" s="9"/>
      <c r="D113" s="9"/>
      <c r="E113" s="10"/>
      <c r="F113" s="13" t="str">
        <f>IF(E113="RWF",SUMIF('Exch. rate'!A:A,'Expenses report'!C113,'Exch. rate'!B:B),IF(E113="EUR",1,""))</f>
        <v/>
      </c>
      <c r="G113" s="14" t="str">
        <f t="shared" si="5"/>
        <v/>
      </c>
      <c r="H113" s="10"/>
      <c r="I113" s="10"/>
      <c r="J113" s="9"/>
      <c r="K113" s="9"/>
      <c r="L113" s="9"/>
      <c r="M113" s="2" t="str">
        <f t="shared" si="4"/>
        <v/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9"/>
      <c r="B114" s="10"/>
      <c r="C114" s="9"/>
      <c r="D114" s="9"/>
      <c r="E114" s="10"/>
      <c r="F114" s="13" t="str">
        <f>IF(E114="RWF",SUMIF('Exch. rate'!A:A,'Expenses report'!C114,'Exch. rate'!B:B),IF(E114="EUR",1,""))</f>
        <v/>
      </c>
      <c r="G114" s="14" t="str">
        <f t="shared" si="5"/>
        <v/>
      </c>
      <c r="H114" s="10"/>
      <c r="I114" s="10"/>
      <c r="J114" s="9"/>
      <c r="K114" s="9"/>
      <c r="L114" s="9"/>
      <c r="M114" s="2" t="str">
        <f t="shared" si="4"/>
        <v/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9"/>
      <c r="B115" s="10"/>
      <c r="C115" s="9"/>
      <c r="D115" s="9"/>
      <c r="E115" s="10"/>
      <c r="F115" s="13" t="str">
        <f>IF(E115="RWF",SUMIF('Exch. rate'!A:A,'Expenses report'!C115,'Exch. rate'!B:B),IF(E115="EUR",1,""))</f>
        <v/>
      </c>
      <c r="G115" s="14" t="str">
        <f t="shared" si="5"/>
        <v/>
      </c>
      <c r="H115" s="10"/>
      <c r="I115" s="10"/>
      <c r="J115" s="9"/>
      <c r="K115" s="9"/>
      <c r="L115" s="9"/>
      <c r="M115" s="2" t="str">
        <f t="shared" si="4"/>
        <v/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9"/>
      <c r="B116" s="10"/>
      <c r="C116" s="9"/>
      <c r="D116" s="9"/>
      <c r="E116" s="10"/>
      <c r="F116" s="13" t="str">
        <f>IF(E116="RWF",SUMIF('Exch. rate'!A:A,'Expenses report'!C116,'Exch. rate'!B:B),IF(E116="EUR",1,""))</f>
        <v/>
      </c>
      <c r="G116" s="14" t="str">
        <f t="shared" si="5"/>
        <v/>
      </c>
      <c r="H116" s="10"/>
      <c r="I116" s="10"/>
      <c r="J116" s="9"/>
      <c r="K116" s="9"/>
      <c r="L116" s="9"/>
      <c r="M116" s="2" t="str">
        <f t="shared" si="4"/>
        <v/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9"/>
      <c r="B117" s="10"/>
      <c r="C117" s="9"/>
      <c r="D117" s="9"/>
      <c r="E117" s="10"/>
      <c r="F117" s="13" t="str">
        <f>IF(E117="RWF",SUMIF('Exch. rate'!A:A,'Expenses report'!C117,'Exch. rate'!B:B),IF(E117="EUR",1,""))</f>
        <v/>
      </c>
      <c r="G117" s="14" t="str">
        <f t="shared" si="5"/>
        <v/>
      </c>
      <c r="H117" s="10"/>
      <c r="I117" s="10"/>
      <c r="J117" s="9"/>
      <c r="K117" s="9"/>
      <c r="L117" s="9"/>
      <c r="M117" s="2" t="str">
        <f t="shared" si="4"/>
        <v/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9"/>
      <c r="B118" s="10"/>
      <c r="C118" s="9"/>
      <c r="D118" s="9"/>
      <c r="E118" s="10"/>
      <c r="F118" s="13" t="str">
        <f>IF(E118="RWF",SUMIF('Exch. rate'!A:A,'Expenses report'!C118,'Exch. rate'!B:B),IF(E118="EUR",1,""))</f>
        <v/>
      </c>
      <c r="G118" s="14" t="str">
        <f t="shared" si="5"/>
        <v/>
      </c>
      <c r="H118" s="10"/>
      <c r="I118" s="10"/>
      <c r="J118" s="9"/>
      <c r="K118" s="9"/>
      <c r="L118" s="9"/>
      <c r="M118" s="2" t="str">
        <f t="shared" si="4"/>
        <v/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9"/>
      <c r="B119" s="10"/>
      <c r="C119" s="9"/>
      <c r="D119" s="9"/>
      <c r="E119" s="10"/>
      <c r="F119" s="13" t="str">
        <f>IF(E119="RWF",SUMIF('Exch. rate'!A:A,'Expenses report'!C119,'Exch. rate'!B:B),IF(E119="EUR",1,""))</f>
        <v/>
      </c>
      <c r="G119" s="14" t="str">
        <f t="shared" si="5"/>
        <v/>
      </c>
      <c r="H119" s="10"/>
      <c r="I119" s="10"/>
      <c r="J119" s="9"/>
      <c r="K119" s="9"/>
      <c r="L119" s="9"/>
      <c r="M119" s="2" t="str">
        <f t="shared" si="4"/>
        <v/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9"/>
      <c r="B120" s="10"/>
      <c r="C120" s="9"/>
      <c r="D120" s="9"/>
      <c r="E120" s="10"/>
      <c r="F120" s="13" t="str">
        <f>IF(E120="RWF",SUMIF('Exch. rate'!A:A,'Expenses report'!C120,'Exch. rate'!B:B),IF(E120="EUR",1,""))</f>
        <v/>
      </c>
      <c r="G120" s="14" t="str">
        <f t="shared" si="5"/>
        <v/>
      </c>
      <c r="H120" s="10"/>
      <c r="I120" s="10"/>
      <c r="J120" s="9"/>
      <c r="K120" s="9"/>
      <c r="L120" s="9"/>
      <c r="M120" s="2" t="str">
        <f t="shared" si="4"/>
        <v/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9"/>
      <c r="B121" s="10"/>
      <c r="C121" s="9"/>
      <c r="D121" s="9"/>
      <c r="E121" s="10"/>
      <c r="F121" s="13" t="str">
        <f>IF(E121="RWF",SUMIF('Exch. rate'!A:A,'Expenses report'!C121,'Exch. rate'!B:B),IF(E121="EUR",1,""))</f>
        <v/>
      </c>
      <c r="G121" s="14" t="str">
        <f t="shared" si="5"/>
        <v/>
      </c>
      <c r="H121" s="10"/>
      <c r="I121" s="10"/>
      <c r="J121" s="9"/>
      <c r="K121" s="9"/>
      <c r="L121" s="9"/>
      <c r="M121" s="2" t="str">
        <f t="shared" si="4"/>
        <v/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9"/>
      <c r="B122" s="10"/>
      <c r="C122" s="9"/>
      <c r="D122" s="9"/>
      <c r="E122" s="10"/>
      <c r="F122" s="13" t="str">
        <f>IF(E122="RWF",SUMIF('Exch. rate'!A:A,'Expenses report'!C122,'Exch. rate'!B:B),IF(E122="EUR",1,""))</f>
        <v/>
      </c>
      <c r="G122" s="14" t="str">
        <f t="shared" si="5"/>
        <v/>
      </c>
      <c r="H122" s="10"/>
      <c r="I122" s="10"/>
      <c r="J122" s="9"/>
      <c r="K122" s="9"/>
      <c r="L122" s="9"/>
      <c r="M122" s="2" t="str">
        <f t="shared" si="4"/>
        <v/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9"/>
      <c r="B123" s="10"/>
      <c r="C123" s="9"/>
      <c r="D123" s="9"/>
      <c r="E123" s="10"/>
      <c r="F123" s="13" t="str">
        <f>IF(E123="RWF",SUMIF('Exch. rate'!A:A,'Expenses report'!C123,'Exch. rate'!B:B),IF(E123="EUR",1,""))</f>
        <v/>
      </c>
      <c r="G123" s="14" t="str">
        <f t="shared" si="5"/>
        <v/>
      </c>
      <c r="H123" s="10"/>
      <c r="I123" s="10"/>
      <c r="J123" s="9"/>
      <c r="K123" s="9"/>
      <c r="L123" s="9"/>
      <c r="M123" s="2" t="str">
        <f t="shared" si="4"/>
        <v/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9"/>
      <c r="B124" s="10"/>
      <c r="C124" s="9"/>
      <c r="D124" s="9"/>
      <c r="E124" s="10"/>
      <c r="F124" s="13" t="str">
        <f>IF(E124="RWF",SUMIF('Exch. rate'!A:A,'Expenses report'!C124,'Exch. rate'!B:B),IF(E124="EUR",1,""))</f>
        <v/>
      </c>
      <c r="G124" s="14" t="str">
        <f t="shared" si="5"/>
        <v/>
      </c>
      <c r="H124" s="10"/>
      <c r="I124" s="10"/>
      <c r="J124" s="9"/>
      <c r="K124" s="9"/>
      <c r="L124" s="9"/>
      <c r="M124" s="2" t="str">
        <f t="shared" si="4"/>
        <v/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9"/>
      <c r="B125" s="10"/>
      <c r="C125" s="9"/>
      <c r="D125" s="9"/>
      <c r="E125" s="10"/>
      <c r="F125" s="13" t="str">
        <f>IF(E125="RWF",SUMIF('Exch. rate'!A:A,'Expenses report'!C125,'Exch. rate'!B:B),IF(E125="EUR",1,""))</f>
        <v/>
      </c>
      <c r="G125" s="14" t="str">
        <f t="shared" si="5"/>
        <v/>
      </c>
      <c r="H125" s="10"/>
      <c r="I125" s="10"/>
      <c r="J125" s="9"/>
      <c r="K125" s="9"/>
      <c r="L125" s="9"/>
      <c r="M125" s="2" t="str">
        <f t="shared" si="4"/>
        <v/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9"/>
      <c r="B126" s="10"/>
      <c r="C126" s="9"/>
      <c r="D126" s="9"/>
      <c r="E126" s="10"/>
      <c r="F126" s="13" t="str">
        <f>IF(E126="RWF",SUMIF('Exch. rate'!A:A,'Expenses report'!C126,'Exch. rate'!B:B),IF(E126="EUR",1,""))</f>
        <v/>
      </c>
      <c r="G126" s="14" t="str">
        <f t="shared" si="5"/>
        <v/>
      </c>
      <c r="H126" s="10"/>
      <c r="I126" s="10"/>
      <c r="J126" s="9"/>
      <c r="K126" s="9"/>
      <c r="L126" s="9"/>
      <c r="M126" s="2" t="str">
        <f t="shared" si="4"/>
        <v/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9"/>
      <c r="B127" s="10"/>
      <c r="C127" s="9"/>
      <c r="D127" s="9"/>
      <c r="E127" s="10"/>
      <c r="F127" s="13" t="str">
        <f>IF(E127="RWF",SUMIF('Exch. rate'!A:A,'Expenses report'!C127,'Exch. rate'!B:B),IF(E127="EUR",1,""))</f>
        <v/>
      </c>
      <c r="G127" s="14" t="str">
        <f t="shared" si="5"/>
        <v/>
      </c>
      <c r="H127" s="10"/>
      <c r="I127" s="10"/>
      <c r="J127" s="9"/>
      <c r="K127" s="9"/>
      <c r="L127" s="9"/>
      <c r="M127" s="2" t="str">
        <f t="shared" si="4"/>
        <v/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9"/>
      <c r="B128" s="10"/>
      <c r="C128" s="9"/>
      <c r="D128" s="9"/>
      <c r="E128" s="10"/>
      <c r="F128" s="13" t="str">
        <f>IF(E128="RWF",SUMIF('Exch. rate'!A:A,'Expenses report'!C128,'Exch. rate'!B:B),IF(E128="EUR",1,""))</f>
        <v/>
      </c>
      <c r="G128" s="14" t="str">
        <f t="shared" si="5"/>
        <v/>
      </c>
      <c r="H128" s="10"/>
      <c r="I128" s="10"/>
      <c r="J128" s="9"/>
      <c r="K128" s="9"/>
      <c r="L128" s="9"/>
      <c r="M128" s="2" t="str">
        <f t="shared" si="4"/>
        <v/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9"/>
      <c r="B129" s="10"/>
      <c r="C129" s="9"/>
      <c r="D129" s="9"/>
      <c r="E129" s="10"/>
      <c r="F129" s="13" t="str">
        <f>IF(E129="RWF",SUMIF('Exch. rate'!A:A,'Expenses report'!C129,'Exch. rate'!B:B),IF(E129="EUR",1,""))</f>
        <v/>
      </c>
      <c r="G129" s="14" t="str">
        <f t="shared" si="5"/>
        <v/>
      </c>
      <c r="H129" s="10"/>
      <c r="I129" s="10"/>
      <c r="J129" s="9"/>
      <c r="K129" s="9"/>
      <c r="L129" s="9"/>
      <c r="M129" s="2" t="str">
        <f t="shared" si="4"/>
        <v/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9"/>
      <c r="B130" s="10"/>
      <c r="C130" s="9"/>
      <c r="D130" s="9"/>
      <c r="E130" s="10"/>
      <c r="F130" s="13" t="str">
        <f>IF(E130="RWF",SUMIF('Exch. rate'!A:A,'Expenses report'!C130,'Exch. rate'!B:B),IF(E130="EUR",1,""))</f>
        <v/>
      </c>
      <c r="G130" s="14" t="str">
        <f t="shared" si="5"/>
        <v/>
      </c>
      <c r="H130" s="10"/>
      <c r="I130" s="10"/>
      <c r="J130" s="9"/>
      <c r="K130" s="9"/>
      <c r="L130" s="9"/>
      <c r="M130" s="2" t="str">
        <f t="shared" si="4"/>
        <v/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9"/>
      <c r="B131" s="10"/>
      <c r="C131" s="9"/>
      <c r="D131" s="9"/>
      <c r="E131" s="10"/>
      <c r="F131" s="13" t="str">
        <f>IF(E131="RWF",SUMIF('Exch. rate'!A:A,'Expenses report'!C131,'Exch. rate'!B:B),IF(E131="EUR",1,""))</f>
        <v/>
      </c>
      <c r="G131" s="14" t="str">
        <f t="shared" si="5"/>
        <v/>
      </c>
      <c r="H131" s="10"/>
      <c r="I131" s="10"/>
      <c r="J131" s="9"/>
      <c r="K131" s="9"/>
      <c r="L131" s="9"/>
      <c r="M131" s="2" t="str">
        <f t="shared" si="4"/>
        <v/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9"/>
      <c r="B132" s="10"/>
      <c r="C132" s="9"/>
      <c r="D132" s="9"/>
      <c r="E132" s="10"/>
      <c r="F132" s="13" t="str">
        <f>IF(E132="RWF",SUMIF('Exch. rate'!A:A,'Expenses report'!C132,'Exch. rate'!B:B),IF(E132="EUR",1,""))</f>
        <v/>
      </c>
      <c r="G132" s="14" t="str">
        <f t="shared" si="5"/>
        <v/>
      </c>
      <c r="H132" s="10"/>
      <c r="I132" s="10"/>
      <c r="J132" s="9"/>
      <c r="K132" s="9"/>
      <c r="L132" s="9"/>
      <c r="M132" s="2" t="str">
        <f t="shared" si="4"/>
        <v/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9"/>
      <c r="B133" s="10"/>
      <c r="C133" s="9"/>
      <c r="D133" s="9"/>
      <c r="E133" s="10"/>
      <c r="F133" s="13" t="str">
        <f>IF(E133="RWF",SUMIF('Exch. rate'!A:A,'Expenses report'!C133,'Exch. rate'!B:B),IF(E133="EUR",1,""))</f>
        <v/>
      </c>
      <c r="G133" s="14" t="str">
        <f t="shared" si="5"/>
        <v/>
      </c>
      <c r="H133" s="10"/>
      <c r="I133" s="10"/>
      <c r="J133" s="9"/>
      <c r="K133" s="9"/>
      <c r="L133" s="9"/>
      <c r="M133" s="2" t="str">
        <f t="shared" si="4"/>
        <v/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9"/>
      <c r="B134" s="10"/>
      <c r="C134" s="9"/>
      <c r="D134" s="9"/>
      <c r="E134" s="10"/>
      <c r="F134" s="13" t="str">
        <f>IF(E134="RWF",SUMIF('Exch. rate'!A:A,'Expenses report'!C134,'Exch. rate'!B:B),IF(E134="EUR",1,""))</f>
        <v/>
      </c>
      <c r="G134" s="14" t="str">
        <f t="shared" si="5"/>
        <v/>
      </c>
      <c r="H134" s="10"/>
      <c r="I134" s="10"/>
      <c r="J134" s="9"/>
      <c r="K134" s="9"/>
      <c r="L134" s="9"/>
      <c r="M134" s="2" t="str">
        <f t="shared" si="4"/>
        <v/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9"/>
      <c r="B135" s="10"/>
      <c r="C135" s="9"/>
      <c r="D135" s="9"/>
      <c r="E135" s="10"/>
      <c r="F135" s="13" t="str">
        <f>IF(E135="RWF",SUMIF('Exch. rate'!A:A,'Expenses report'!C135,'Exch. rate'!B:B),IF(E135="EUR",1,""))</f>
        <v/>
      </c>
      <c r="G135" s="14" t="str">
        <f t="shared" si="5"/>
        <v/>
      </c>
      <c r="H135" s="10"/>
      <c r="I135" s="10"/>
      <c r="J135" s="9"/>
      <c r="K135" s="9"/>
      <c r="L135" s="9"/>
      <c r="M135" s="2" t="str">
        <f t="shared" si="4"/>
        <v/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9"/>
      <c r="B136" s="10"/>
      <c r="C136" s="9"/>
      <c r="D136" s="9"/>
      <c r="E136" s="10"/>
      <c r="F136" s="13" t="str">
        <f>IF(E136="RWF",SUMIF('Exch. rate'!A:A,'Expenses report'!C136,'Exch. rate'!B:B),IF(E136="EUR",1,""))</f>
        <v/>
      </c>
      <c r="G136" s="14" t="str">
        <f t="shared" si="5"/>
        <v/>
      </c>
      <c r="H136" s="10"/>
      <c r="I136" s="10"/>
      <c r="J136" s="9"/>
      <c r="K136" s="9"/>
      <c r="L136" s="9"/>
      <c r="M136" s="2" t="str">
        <f t="shared" si="4"/>
        <v/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9"/>
      <c r="B137" s="10"/>
      <c r="C137" s="9"/>
      <c r="D137" s="9"/>
      <c r="E137" s="10"/>
      <c r="F137" s="13" t="str">
        <f>IF(E137="RWF",SUMIF('Exch. rate'!A:A,'Expenses report'!C137,'Exch. rate'!B:B),IF(E137="EUR",1,""))</f>
        <v/>
      </c>
      <c r="G137" s="14" t="str">
        <f t="shared" si="5"/>
        <v/>
      </c>
      <c r="H137" s="10"/>
      <c r="I137" s="10"/>
      <c r="J137" s="9"/>
      <c r="K137" s="9"/>
      <c r="L137" s="9"/>
      <c r="M137" s="2" t="str">
        <f t="shared" si="4"/>
        <v/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9"/>
      <c r="B138" s="10"/>
      <c r="C138" s="9"/>
      <c r="D138" s="9"/>
      <c r="E138" s="10"/>
      <c r="F138" s="13" t="str">
        <f>IF(E138="RWF",SUMIF('Exch. rate'!A:A,'Expenses report'!C138,'Exch. rate'!B:B),IF(E138="EUR",1,""))</f>
        <v/>
      </c>
      <c r="G138" s="14" t="str">
        <f t="shared" si="5"/>
        <v/>
      </c>
      <c r="H138" s="10"/>
      <c r="I138" s="10"/>
      <c r="J138" s="9"/>
      <c r="K138" s="9"/>
      <c r="L138" s="9"/>
      <c r="M138" s="2" t="str">
        <f t="shared" si="4"/>
        <v/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9"/>
      <c r="B139" s="10"/>
      <c r="C139" s="9"/>
      <c r="D139" s="9"/>
      <c r="E139" s="10"/>
      <c r="F139" s="13" t="str">
        <f>IF(E139="RWF",SUMIF('Exch. rate'!A:A,'Expenses report'!C139,'Exch. rate'!B:B),IF(E139="EUR",1,""))</f>
        <v/>
      </c>
      <c r="G139" s="14" t="str">
        <f t="shared" si="5"/>
        <v/>
      </c>
      <c r="H139" s="10"/>
      <c r="I139" s="10"/>
      <c r="J139" s="9"/>
      <c r="K139" s="9"/>
      <c r="L139" s="9"/>
      <c r="M139" s="2" t="str">
        <f t="shared" si="4"/>
        <v/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9"/>
      <c r="B140" s="10"/>
      <c r="C140" s="9"/>
      <c r="D140" s="9"/>
      <c r="E140" s="10"/>
      <c r="F140" s="13" t="str">
        <f>IF(E140="RWF",SUMIF('Exch. rate'!A:A,'Expenses report'!C140,'Exch. rate'!B:B),IF(E140="EUR",1,""))</f>
        <v/>
      </c>
      <c r="G140" s="14" t="str">
        <f t="shared" si="5"/>
        <v/>
      </c>
      <c r="H140" s="10"/>
      <c r="I140" s="10"/>
      <c r="J140" s="9"/>
      <c r="K140" s="9"/>
      <c r="L140" s="9"/>
      <c r="M140" s="2" t="str">
        <f t="shared" si="4"/>
        <v/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9"/>
      <c r="B141" s="10"/>
      <c r="C141" s="9"/>
      <c r="D141" s="9"/>
      <c r="E141" s="10"/>
      <c r="F141" s="13" t="str">
        <f>IF(E141="RWF",SUMIF('Exch. rate'!A:A,'Expenses report'!C141,'Exch. rate'!B:B),IF(E141="EUR",1,""))</f>
        <v/>
      </c>
      <c r="G141" s="14" t="str">
        <f t="shared" si="5"/>
        <v/>
      </c>
      <c r="H141" s="10"/>
      <c r="I141" s="10"/>
      <c r="J141" s="9"/>
      <c r="K141" s="9"/>
      <c r="L141" s="9"/>
      <c r="M141" s="2" t="str">
        <f t="shared" si="4"/>
        <v/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9"/>
      <c r="B142" s="10"/>
      <c r="C142" s="9"/>
      <c r="D142" s="9"/>
      <c r="E142" s="10"/>
      <c r="F142" s="13" t="str">
        <f>IF(E142="RWF",SUMIF('Exch. rate'!A:A,'Expenses report'!C142,'Exch. rate'!B:B),IF(E142="EUR",1,""))</f>
        <v/>
      </c>
      <c r="G142" s="14" t="str">
        <f t="shared" si="5"/>
        <v/>
      </c>
      <c r="H142" s="10"/>
      <c r="I142" s="10"/>
      <c r="J142" s="9"/>
      <c r="K142" s="9"/>
      <c r="L142" s="9"/>
      <c r="M142" s="2" t="str">
        <f t="shared" si="4"/>
        <v/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9"/>
      <c r="B143" s="10"/>
      <c r="C143" s="9"/>
      <c r="D143" s="9"/>
      <c r="E143" s="10"/>
      <c r="F143" s="13" t="str">
        <f>IF(E143="RWF",SUMIF('Exch. rate'!A:A,'Expenses report'!C143,'Exch. rate'!B:B),IF(E143="EUR",1,""))</f>
        <v/>
      </c>
      <c r="G143" s="14" t="str">
        <f t="shared" si="5"/>
        <v/>
      </c>
      <c r="H143" s="10"/>
      <c r="I143" s="10"/>
      <c r="J143" s="9"/>
      <c r="K143" s="9"/>
      <c r="L143" s="9"/>
      <c r="M143" s="2" t="str">
        <f t="shared" si="4"/>
        <v/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9"/>
      <c r="B144" s="10"/>
      <c r="C144" s="9"/>
      <c r="D144" s="9"/>
      <c r="E144" s="10"/>
      <c r="F144" s="13" t="str">
        <f>IF(E144="RWF",SUMIF('Exch. rate'!A:A,'Expenses report'!C144,'Exch. rate'!B:B),IF(E144="EUR",1,""))</f>
        <v/>
      </c>
      <c r="G144" s="14" t="str">
        <f t="shared" si="5"/>
        <v/>
      </c>
      <c r="H144" s="10"/>
      <c r="I144" s="10"/>
      <c r="J144" s="9"/>
      <c r="K144" s="9"/>
      <c r="L144" s="9"/>
      <c r="M144" s="2" t="str">
        <f t="shared" si="4"/>
        <v/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9"/>
      <c r="B145" s="10"/>
      <c r="C145" s="9"/>
      <c r="D145" s="9"/>
      <c r="E145" s="10"/>
      <c r="F145" s="13" t="str">
        <f>IF(E145="RWF",SUMIF('Exch. rate'!A:A,'Expenses report'!C145,'Exch. rate'!B:B),IF(E145="EUR",1,""))</f>
        <v/>
      </c>
      <c r="G145" s="14" t="str">
        <f t="shared" si="5"/>
        <v/>
      </c>
      <c r="H145" s="10"/>
      <c r="I145" s="10"/>
      <c r="J145" s="9"/>
      <c r="K145" s="9"/>
      <c r="L145" s="9"/>
      <c r="M145" s="2" t="str">
        <f t="shared" si="4"/>
        <v/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9"/>
      <c r="B146" s="10"/>
      <c r="C146" s="9"/>
      <c r="D146" s="9"/>
      <c r="E146" s="10"/>
      <c r="F146" s="13" t="str">
        <f>IF(E146="RWF",SUMIF('Exch. rate'!A:A,'Expenses report'!C146,'Exch. rate'!B:B),IF(E146="EUR",1,""))</f>
        <v/>
      </c>
      <c r="G146" s="14" t="str">
        <f t="shared" si="5"/>
        <v/>
      </c>
      <c r="H146" s="10"/>
      <c r="I146" s="10"/>
      <c r="J146" s="9"/>
      <c r="K146" s="9"/>
      <c r="L146" s="9"/>
      <c r="M146" s="2" t="str">
        <f t="shared" si="4"/>
        <v/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9"/>
      <c r="B147" s="10"/>
      <c r="C147" s="9"/>
      <c r="D147" s="9"/>
      <c r="E147" s="10"/>
      <c r="F147" s="13" t="str">
        <f>IF(E147="RWF",SUMIF('Exch. rate'!A:A,'Expenses report'!C147,'Exch. rate'!B:B),IF(E147="EUR",1,""))</f>
        <v/>
      </c>
      <c r="G147" s="14" t="str">
        <f t="shared" si="5"/>
        <v/>
      </c>
      <c r="H147" s="10"/>
      <c r="I147" s="10"/>
      <c r="J147" s="9"/>
      <c r="K147" s="9"/>
      <c r="L147" s="9"/>
      <c r="M147" s="2" t="str">
        <f t="shared" si="4"/>
        <v/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9"/>
      <c r="B148" s="10"/>
      <c r="C148" s="9"/>
      <c r="D148" s="9"/>
      <c r="E148" s="10"/>
      <c r="F148" s="13" t="str">
        <f>IF(E148="RWF",SUMIF('Exch. rate'!A:A,'Expenses report'!C148,'Exch. rate'!B:B),IF(E148="EUR",1,""))</f>
        <v/>
      </c>
      <c r="G148" s="14" t="str">
        <f t="shared" si="5"/>
        <v/>
      </c>
      <c r="H148" s="10"/>
      <c r="I148" s="10"/>
      <c r="J148" s="9"/>
      <c r="K148" s="9"/>
      <c r="L148" s="9"/>
      <c r="M148" s="2" t="str">
        <f t="shared" si="4"/>
        <v/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9"/>
      <c r="B149" s="10"/>
      <c r="C149" s="9"/>
      <c r="D149" s="9"/>
      <c r="E149" s="10"/>
      <c r="F149" s="13" t="str">
        <f>IF(E149="RWF",SUMIF('Exch. rate'!A:A,'Expenses report'!C149,'Exch. rate'!B:B),IF(E149="EUR",1,""))</f>
        <v/>
      </c>
      <c r="G149" s="14" t="str">
        <f t="shared" si="5"/>
        <v/>
      </c>
      <c r="H149" s="10"/>
      <c r="I149" s="10"/>
      <c r="J149" s="9"/>
      <c r="K149" s="9"/>
      <c r="L149" s="9"/>
      <c r="M149" s="2" t="str">
        <f t="shared" si="4"/>
        <v/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9"/>
      <c r="B150" s="10"/>
      <c r="C150" s="9"/>
      <c r="D150" s="9"/>
      <c r="E150" s="10"/>
      <c r="F150" s="13" t="str">
        <f>IF(E150="RWF",SUMIF('Exch. rate'!A:A,'Expenses report'!C150,'Exch. rate'!B:B),IF(E150="EUR",1,""))</f>
        <v/>
      </c>
      <c r="G150" s="14" t="str">
        <f t="shared" si="5"/>
        <v/>
      </c>
      <c r="H150" s="10"/>
      <c r="I150" s="10"/>
      <c r="J150" s="9"/>
      <c r="K150" s="9"/>
      <c r="L150" s="9"/>
      <c r="M150" s="2" t="str">
        <f t="shared" si="4"/>
        <v/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9"/>
      <c r="B151" s="10"/>
      <c r="C151" s="9"/>
      <c r="D151" s="9"/>
      <c r="E151" s="10"/>
      <c r="F151" s="13" t="str">
        <f>IF(E151="RWF",SUMIF('Exch. rate'!A:A,'Expenses report'!C151,'Exch. rate'!B:B),IF(E151="EUR",1,""))</f>
        <v/>
      </c>
      <c r="G151" s="14" t="str">
        <f t="shared" si="5"/>
        <v/>
      </c>
      <c r="H151" s="10"/>
      <c r="I151" s="10"/>
      <c r="J151" s="9"/>
      <c r="K151" s="9"/>
      <c r="L151" s="9"/>
      <c r="M151" s="2" t="str">
        <f t="shared" si="4"/>
        <v/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9"/>
      <c r="B152" s="10"/>
      <c r="C152" s="9"/>
      <c r="D152" s="9"/>
      <c r="E152" s="10"/>
      <c r="F152" s="13" t="str">
        <f>IF(E152="RWF",SUMIF('Exch. rate'!A:A,'Expenses report'!C152,'Exch. rate'!B:B),IF(E152="EUR",1,""))</f>
        <v/>
      </c>
      <c r="G152" s="14" t="str">
        <f t="shared" si="5"/>
        <v/>
      </c>
      <c r="H152" s="10"/>
      <c r="I152" s="10"/>
      <c r="J152" s="9"/>
      <c r="K152" s="9"/>
      <c r="L152" s="9"/>
      <c r="M152" s="2" t="str">
        <f t="shared" si="4"/>
        <v/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9"/>
      <c r="B153" s="10"/>
      <c r="C153" s="9"/>
      <c r="D153" s="9"/>
      <c r="E153" s="10"/>
      <c r="F153" s="13" t="str">
        <f>IF(E153="RWF",SUMIF('Exch. rate'!A:A,'Expenses report'!C153,'Exch. rate'!B:B),IF(E153="EUR",1,""))</f>
        <v/>
      </c>
      <c r="G153" s="14" t="str">
        <f t="shared" si="5"/>
        <v/>
      </c>
      <c r="H153" s="10"/>
      <c r="I153" s="10"/>
      <c r="J153" s="9"/>
      <c r="K153" s="9"/>
      <c r="L153" s="9"/>
      <c r="M153" s="2" t="str">
        <f t="shared" si="4"/>
        <v/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9"/>
      <c r="B154" s="10"/>
      <c r="C154" s="9"/>
      <c r="D154" s="9"/>
      <c r="E154" s="10"/>
      <c r="F154" s="13" t="str">
        <f>IF(E154="RWF",SUMIF('Exch. rate'!A:A,'Expenses report'!C154,'Exch. rate'!B:B),IF(E154="EUR",1,""))</f>
        <v/>
      </c>
      <c r="G154" s="14" t="str">
        <f t="shared" si="5"/>
        <v/>
      </c>
      <c r="H154" s="10"/>
      <c r="I154" s="10"/>
      <c r="J154" s="9"/>
      <c r="K154" s="9"/>
      <c r="L154" s="9"/>
      <c r="M154" s="2" t="str">
        <f t="shared" si="4"/>
        <v/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9"/>
      <c r="B155" s="10"/>
      <c r="C155" s="9"/>
      <c r="D155" s="9"/>
      <c r="E155" s="10"/>
      <c r="F155" s="13" t="str">
        <f>IF(E155="RWF",SUMIF('Exch. rate'!A:A,'Expenses report'!C155,'Exch. rate'!B:B),IF(E155="EUR",1,""))</f>
        <v/>
      </c>
      <c r="G155" s="14" t="str">
        <f t="shared" si="5"/>
        <v/>
      </c>
      <c r="H155" s="10"/>
      <c r="I155" s="10"/>
      <c r="J155" s="9"/>
      <c r="K155" s="9"/>
      <c r="L155" s="9"/>
      <c r="M155" s="2" t="str">
        <f t="shared" si="4"/>
        <v/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9"/>
      <c r="B156" s="10"/>
      <c r="C156" s="9"/>
      <c r="D156" s="9"/>
      <c r="E156" s="10"/>
      <c r="F156" s="13" t="str">
        <f>IF(E156="RWF",SUMIF('Exch. rate'!A:A,'Expenses report'!C156,'Exch. rate'!B:B),IF(E156="EUR",1,""))</f>
        <v/>
      </c>
      <c r="G156" s="14" t="str">
        <f t="shared" si="5"/>
        <v/>
      </c>
      <c r="H156" s="10"/>
      <c r="I156" s="10"/>
      <c r="J156" s="9"/>
      <c r="K156" s="9"/>
      <c r="L156" s="9"/>
      <c r="M156" s="2" t="str">
        <f t="shared" si="4"/>
        <v/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9"/>
      <c r="B157" s="10"/>
      <c r="C157" s="9"/>
      <c r="D157" s="9"/>
      <c r="E157" s="10"/>
      <c r="F157" s="13" t="str">
        <f>IF(E157="RWF",SUMIF('Exch. rate'!A:A,'Expenses report'!C157,'Exch. rate'!B:B),IF(E157="EUR",1,""))</f>
        <v/>
      </c>
      <c r="G157" s="14" t="str">
        <f t="shared" si="5"/>
        <v/>
      </c>
      <c r="H157" s="10"/>
      <c r="I157" s="10"/>
      <c r="J157" s="9"/>
      <c r="K157" s="9"/>
      <c r="L157" s="9"/>
      <c r="M157" s="2" t="str">
        <f t="shared" si="4"/>
        <v/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9"/>
      <c r="B158" s="10"/>
      <c r="C158" s="9"/>
      <c r="D158" s="9"/>
      <c r="E158" s="10"/>
      <c r="F158" s="13" t="str">
        <f>IF(E158="RWF",SUMIF('Exch. rate'!A:A,'Expenses report'!C158,'Exch. rate'!B:B),IF(E158="EUR",1,""))</f>
        <v/>
      </c>
      <c r="G158" s="14" t="str">
        <f t="shared" si="5"/>
        <v/>
      </c>
      <c r="H158" s="10"/>
      <c r="I158" s="10"/>
      <c r="J158" s="9"/>
      <c r="K158" s="9"/>
      <c r="L158" s="9"/>
      <c r="M158" s="2" t="str">
        <f t="shared" si="4"/>
        <v/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9"/>
      <c r="B159" s="10"/>
      <c r="C159" s="9"/>
      <c r="D159" s="9"/>
      <c r="E159" s="10"/>
      <c r="F159" s="13" t="str">
        <f>IF(E159="RWF",SUMIF('Exch. rate'!A:A,'Expenses report'!C159,'Exch. rate'!B:B),IF(E159="EUR",1,""))</f>
        <v/>
      </c>
      <c r="G159" s="14" t="str">
        <f t="shared" si="5"/>
        <v/>
      </c>
      <c r="H159" s="10"/>
      <c r="I159" s="10"/>
      <c r="J159" s="9"/>
      <c r="K159" s="9"/>
      <c r="L159" s="9"/>
      <c r="M159" s="2" t="str">
        <f t="shared" si="4"/>
        <v/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9"/>
      <c r="B160" s="10"/>
      <c r="C160" s="9"/>
      <c r="D160" s="9"/>
      <c r="E160" s="10"/>
      <c r="F160" s="13" t="str">
        <f>IF(E160="RWF",SUMIF('Exch. rate'!A:A,'Expenses report'!C160,'Exch. rate'!B:B),IF(E160="EUR",1,""))</f>
        <v/>
      </c>
      <c r="G160" s="14" t="str">
        <f t="shared" si="5"/>
        <v/>
      </c>
      <c r="H160" s="10"/>
      <c r="I160" s="10"/>
      <c r="J160" s="9"/>
      <c r="K160" s="9"/>
      <c r="L160" s="9"/>
      <c r="M160" s="2" t="str">
        <f t="shared" si="4"/>
        <v/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9"/>
      <c r="B161" s="10"/>
      <c r="C161" s="9"/>
      <c r="D161" s="9"/>
      <c r="E161" s="10"/>
      <c r="F161" s="13" t="str">
        <f>IF(E161="RWF",SUMIF('Exch. rate'!A:A,'Expenses report'!C161,'Exch. rate'!B:B),IF(E161="EUR",1,""))</f>
        <v/>
      </c>
      <c r="G161" s="14" t="str">
        <f t="shared" si="5"/>
        <v/>
      </c>
      <c r="H161" s="10"/>
      <c r="I161" s="10"/>
      <c r="J161" s="9"/>
      <c r="K161" s="9"/>
      <c r="L161" s="9"/>
      <c r="M161" s="2" t="str">
        <f t="shared" si="4"/>
        <v/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9"/>
      <c r="B162" s="10"/>
      <c r="C162" s="9"/>
      <c r="D162" s="9"/>
      <c r="E162" s="10"/>
      <c r="F162" s="13" t="str">
        <f>IF(E162="RWF",SUMIF('Exch. rate'!A:A,'Expenses report'!C162,'Exch. rate'!B:B),IF(E162="EUR",1,""))</f>
        <v/>
      </c>
      <c r="G162" s="14" t="str">
        <f t="shared" si="5"/>
        <v/>
      </c>
      <c r="H162" s="10"/>
      <c r="I162" s="10"/>
      <c r="J162" s="9"/>
      <c r="K162" s="9"/>
      <c r="L162" s="9"/>
      <c r="M162" s="2" t="str">
        <f t="shared" si="4"/>
        <v/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9"/>
      <c r="B163" s="10"/>
      <c r="C163" s="9"/>
      <c r="D163" s="9"/>
      <c r="E163" s="10"/>
      <c r="F163" s="13" t="str">
        <f>IF(E163="RWF",SUMIF('Exch. rate'!A:A,'Expenses report'!C163,'Exch. rate'!B:B),IF(E163="EUR",1,""))</f>
        <v/>
      </c>
      <c r="G163" s="14" t="str">
        <f t="shared" si="5"/>
        <v/>
      </c>
      <c r="H163" s="10"/>
      <c r="I163" s="10"/>
      <c r="J163" s="9"/>
      <c r="K163" s="9"/>
      <c r="L163" s="9"/>
      <c r="M163" s="2" t="str">
        <f t="shared" si="4"/>
        <v/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9"/>
      <c r="B164" s="10"/>
      <c r="C164" s="9"/>
      <c r="D164" s="9"/>
      <c r="E164" s="10"/>
      <c r="F164" s="13" t="str">
        <f>IF(E164="RWF",SUMIF('Exch. rate'!A:A,'Expenses report'!C164,'Exch. rate'!B:B),IF(E164="EUR",1,""))</f>
        <v/>
      </c>
      <c r="G164" s="14" t="str">
        <f t="shared" si="5"/>
        <v/>
      </c>
      <c r="H164" s="10"/>
      <c r="I164" s="10"/>
      <c r="J164" s="9"/>
      <c r="K164" s="9"/>
      <c r="L164" s="9"/>
      <c r="M164" s="2" t="str">
        <f t="shared" si="4"/>
        <v/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9"/>
      <c r="B165" s="10"/>
      <c r="C165" s="9"/>
      <c r="D165" s="9"/>
      <c r="E165" s="10"/>
      <c r="F165" s="13" t="str">
        <f>IF(E165="RWF",SUMIF('Exch. rate'!A:A,'Expenses report'!C165,'Exch. rate'!B:B),IF(E165="EUR",1,""))</f>
        <v/>
      </c>
      <c r="G165" s="14" t="str">
        <f t="shared" si="5"/>
        <v/>
      </c>
      <c r="H165" s="10"/>
      <c r="I165" s="10"/>
      <c r="J165" s="9"/>
      <c r="K165" s="9"/>
      <c r="L165" s="9"/>
      <c r="M165" s="2" t="str">
        <f t="shared" si="4"/>
        <v/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9"/>
      <c r="B166" s="10"/>
      <c r="C166" s="9"/>
      <c r="D166" s="9"/>
      <c r="E166" s="10"/>
      <c r="F166" s="13" t="str">
        <f>IF(E166="RWF",SUMIF('Exch. rate'!A:A,'Expenses report'!C166,'Exch. rate'!B:B),IF(E166="EUR",1,""))</f>
        <v/>
      </c>
      <c r="G166" s="14" t="str">
        <f t="shared" si="5"/>
        <v/>
      </c>
      <c r="H166" s="10"/>
      <c r="I166" s="10"/>
      <c r="J166" s="9"/>
      <c r="K166" s="9"/>
      <c r="L166" s="9"/>
      <c r="M166" s="2" t="str">
        <f t="shared" si="4"/>
        <v/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9"/>
      <c r="B167" s="10"/>
      <c r="C167" s="9"/>
      <c r="D167" s="9"/>
      <c r="E167" s="10"/>
      <c r="F167" s="13" t="str">
        <f>IF(E167="RWF",SUMIF('Exch. rate'!A:A,'Expenses report'!C167,'Exch. rate'!B:B),IF(E167="EUR",1,""))</f>
        <v/>
      </c>
      <c r="G167" s="14" t="str">
        <f t="shared" si="5"/>
        <v/>
      </c>
      <c r="H167" s="10"/>
      <c r="I167" s="10"/>
      <c r="J167" s="9"/>
      <c r="K167" s="9"/>
      <c r="L167" s="9"/>
      <c r="M167" s="2" t="str">
        <f t="shared" si="4"/>
        <v/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9"/>
      <c r="B168" s="10"/>
      <c r="C168" s="9"/>
      <c r="D168" s="9"/>
      <c r="E168" s="10"/>
      <c r="F168" s="13" t="str">
        <f>IF(E168="RWF",SUMIF('Exch. rate'!A:A,'Expenses report'!C168,'Exch. rate'!B:B),IF(E168="EUR",1,""))</f>
        <v/>
      </c>
      <c r="G168" s="14" t="str">
        <f t="shared" si="5"/>
        <v/>
      </c>
      <c r="H168" s="10"/>
      <c r="I168" s="10"/>
      <c r="J168" s="9"/>
      <c r="K168" s="9"/>
      <c r="L168" s="9"/>
      <c r="M168" s="2" t="str">
        <f t="shared" si="4"/>
        <v/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9"/>
      <c r="B169" s="10"/>
      <c r="C169" s="9"/>
      <c r="D169" s="9"/>
      <c r="E169" s="10"/>
      <c r="F169" s="13" t="str">
        <f>IF(E169="RWF",SUMIF('Exch. rate'!A:A,'Expenses report'!C169,'Exch. rate'!B:B),IF(E169="EUR",1,""))</f>
        <v/>
      </c>
      <c r="G169" s="14" t="str">
        <f t="shared" si="5"/>
        <v/>
      </c>
      <c r="H169" s="10"/>
      <c r="I169" s="10"/>
      <c r="J169" s="9"/>
      <c r="K169" s="9"/>
      <c r="L169" s="9"/>
      <c r="M169" s="2" t="str">
        <f t="shared" si="4"/>
        <v/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9"/>
      <c r="B170" s="10"/>
      <c r="C170" s="9"/>
      <c r="D170" s="9"/>
      <c r="E170" s="10"/>
      <c r="F170" s="13" t="str">
        <f>IF(E170="RWF",SUMIF('Exch. rate'!A:A,'Expenses report'!C170,'Exch. rate'!B:B),IF(E170="EUR",1,""))</f>
        <v/>
      </c>
      <c r="G170" s="14" t="str">
        <f t="shared" si="5"/>
        <v/>
      </c>
      <c r="H170" s="10"/>
      <c r="I170" s="10"/>
      <c r="J170" s="9"/>
      <c r="K170" s="9"/>
      <c r="L170" s="9"/>
      <c r="M170" s="2" t="str">
        <f t="shared" si="4"/>
        <v/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9"/>
      <c r="B171" s="10"/>
      <c r="C171" s="9"/>
      <c r="D171" s="9"/>
      <c r="E171" s="10"/>
      <c r="F171" s="13" t="str">
        <f>IF(E171="RWF",SUMIF('Exch. rate'!A:A,'Expenses report'!C171,'Exch. rate'!B:B),IF(E171="EUR",1,""))</f>
        <v/>
      </c>
      <c r="G171" s="14" t="str">
        <f t="shared" si="5"/>
        <v/>
      </c>
      <c r="H171" s="10"/>
      <c r="I171" s="10"/>
      <c r="J171" s="9"/>
      <c r="K171" s="9"/>
      <c r="L171" s="9"/>
      <c r="M171" s="2" t="str">
        <f t="shared" si="4"/>
        <v/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9"/>
      <c r="B172" s="10"/>
      <c r="C172" s="9"/>
      <c r="D172" s="9"/>
      <c r="E172" s="10"/>
      <c r="F172" s="13" t="str">
        <f>IF(E172="RWF",SUMIF('Exch. rate'!A:A,'Expenses report'!C172,'Exch. rate'!B:B),IF(E172="EUR",1,""))</f>
        <v/>
      </c>
      <c r="G172" s="14" t="str">
        <f t="shared" si="5"/>
        <v/>
      </c>
      <c r="H172" s="10"/>
      <c r="I172" s="10"/>
      <c r="J172" s="9"/>
      <c r="K172" s="9"/>
      <c r="L172" s="9"/>
      <c r="M172" s="2" t="str">
        <f t="shared" si="4"/>
        <v/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9"/>
      <c r="B173" s="10"/>
      <c r="C173" s="9"/>
      <c r="D173" s="9"/>
      <c r="E173" s="10"/>
      <c r="F173" s="13" t="str">
        <f>IF(E173="RWF",SUMIF('Exch. rate'!A:A,'Expenses report'!C173,'Exch. rate'!B:B),IF(E173="EUR",1,""))</f>
        <v/>
      </c>
      <c r="G173" s="14" t="str">
        <f t="shared" si="5"/>
        <v/>
      </c>
      <c r="H173" s="10"/>
      <c r="I173" s="10"/>
      <c r="J173" s="9"/>
      <c r="K173" s="9"/>
      <c r="L173" s="9"/>
      <c r="M173" s="2" t="str">
        <f t="shared" si="4"/>
        <v/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9"/>
      <c r="B174" s="10"/>
      <c r="C174" s="9"/>
      <c r="D174" s="9"/>
      <c r="E174" s="10"/>
      <c r="F174" s="13" t="str">
        <f>IF(E174="RWF",SUMIF('Exch. rate'!A:A,'Expenses report'!C174,'Exch. rate'!B:B),IF(E174="EUR",1,""))</f>
        <v/>
      </c>
      <c r="G174" s="14" t="str">
        <f t="shared" si="5"/>
        <v/>
      </c>
      <c r="H174" s="10"/>
      <c r="I174" s="10"/>
      <c r="J174" s="9"/>
      <c r="K174" s="9"/>
      <c r="L174" s="9"/>
      <c r="M174" s="2" t="str">
        <f t="shared" si="4"/>
        <v/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9"/>
      <c r="B175" s="10"/>
      <c r="C175" s="9"/>
      <c r="D175" s="9"/>
      <c r="E175" s="10"/>
      <c r="F175" s="13" t="str">
        <f>IF(E175="RWF",SUMIF('Exch. rate'!A:A,'Expenses report'!C175,'Exch. rate'!B:B),IF(E175="EUR",1,""))</f>
        <v/>
      </c>
      <c r="G175" s="14" t="str">
        <f t="shared" si="5"/>
        <v/>
      </c>
      <c r="H175" s="10"/>
      <c r="I175" s="10"/>
      <c r="J175" s="9"/>
      <c r="K175" s="9"/>
      <c r="L175" s="9"/>
      <c r="M175" s="2" t="str">
        <f t="shared" si="4"/>
        <v/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9"/>
      <c r="B176" s="10"/>
      <c r="C176" s="9"/>
      <c r="D176" s="9"/>
      <c r="E176" s="10"/>
      <c r="F176" s="13" t="str">
        <f>IF(E176="RWF",SUMIF('Exch. rate'!A:A,'Expenses report'!C176,'Exch. rate'!B:B),IF(E176="EUR",1,""))</f>
        <v/>
      </c>
      <c r="G176" s="14" t="str">
        <f t="shared" si="5"/>
        <v/>
      </c>
      <c r="H176" s="10"/>
      <c r="I176" s="10"/>
      <c r="J176" s="9"/>
      <c r="K176" s="9"/>
      <c r="L176" s="9"/>
      <c r="M176" s="2" t="str">
        <f t="shared" si="4"/>
        <v/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9"/>
      <c r="B177" s="10"/>
      <c r="C177" s="9"/>
      <c r="D177" s="9"/>
      <c r="E177" s="10"/>
      <c r="F177" s="13" t="str">
        <f>IF(E177="RWF",SUMIF('Exch. rate'!A:A,'Expenses report'!C177,'Exch. rate'!B:B),IF(E177="EUR",1,""))</f>
        <v/>
      </c>
      <c r="G177" s="14" t="str">
        <f t="shared" si="5"/>
        <v/>
      </c>
      <c r="H177" s="10"/>
      <c r="I177" s="10"/>
      <c r="J177" s="9"/>
      <c r="K177" s="9"/>
      <c r="L177" s="9"/>
      <c r="M177" s="2" t="str">
        <f t="shared" si="4"/>
        <v/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9"/>
      <c r="B178" s="10"/>
      <c r="C178" s="9"/>
      <c r="D178" s="9"/>
      <c r="E178" s="10"/>
      <c r="F178" s="13" t="str">
        <f>IF(E178="RWF",SUMIF('Exch. rate'!A:A,'Expenses report'!C178,'Exch. rate'!B:B),IF(E178="EUR",1,""))</f>
        <v/>
      </c>
      <c r="G178" s="14" t="str">
        <f t="shared" si="5"/>
        <v/>
      </c>
      <c r="H178" s="10"/>
      <c r="I178" s="10"/>
      <c r="J178" s="9"/>
      <c r="K178" s="9"/>
      <c r="L178" s="9"/>
      <c r="M178" s="2" t="str">
        <f t="shared" si="4"/>
        <v/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9"/>
      <c r="B179" s="10"/>
      <c r="C179" s="9"/>
      <c r="D179" s="9"/>
      <c r="E179" s="10"/>
      <c r="F179" s="13" t="str">
        <f>IF(E179="RWF",SUMIF('Exch. rate'!A:A,'Expenses report'!C179,'Exch. rate'!B:B),IF(E179="EUR",1,""))</f>
        <v/>
      </c>
      <c r="G179" s="14" t="str">
        <f t="shared" si="5"/>
        <v/>
      </c>
      <c r="H179" s="10"/>
      <c r="I179" s="10"/>
      <c r="J179" s="9"/>
      <c r="K179" s="9"/>
      <c r="L179" s="9"/>
      <c r="M179" s="2" t="str">
        <f t="shared" si="4"/>
        <v/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9"/>
      <c r="B180" s="10"/>
      <c r="C180" s="9"/>
      <c r="D180" s="9"/>
      <c r="E180" s="10"/>
      <c r="F180" s="13" t="str">
        <f>IF(E180="RWF",SUMIF('Exch. rate'!A:A,'Expenses report'!C180,'Exch. rate'!B:B),IF(E180="EUR",1,""))</f>
        <v/>
      </c>
      <c r="G180" s="14" t="str">
        <f t="shared" si="5"/>
        <v/>
      </c>
      <c r="H180" s="10"/>
      <c r="I180" s="10"/>
      <c r="J180" s="9"/>
      <c r="K180" s="9"/>
      <c r="L180" s="9"/>
      <c r="M180" s="2" t="str">
        <f t="shared" si="4"/>
        <v/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9"/>
      <c r="B181" s="10"/>
      <c r="C181" s="9"/>
      <c r="D181" s="9"/>
      <c r="E181" s="10"/>
      <c r="F181" s="13" t="str">
        <f>IF(E181="RWF",SUMIF('Exch. rate'!A:A,'Expenses report'!C181,'Exch. rate'!B:B),IF(E181="EUR",1,""))</f>
        <v/>
      </c>
      <c r="G181" s="14" t="str">
        <f t="shared" si="5"/>
        <v/>
      </c>
      <c r="H181" s="10"/>
      <c r="I181" s="10"/>
      <c r="J181" s="9"/>
      <c r="K181" s="9"/>
      <c r="L181" s="9"/>
      <c r="M181" s="2" t="str">
        <f t="shared" si="4"/>
        <v/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9"/>
      <c r="B182" s="10"/>
      <c r="C182" s="9"/>
      <c r="D182" s="9"/>
      <c r="E182" s="10"/>
      <c r="F182" s="13" t="str">
        <f>IF(E182="RWF",SUMIF('Exch. rate'!A:A,'Expenses report'!C182,'Exch. rate'!B:B),IF(E182="EUR",1,""))</f>
        <v/>
      </c>
      <c r="G182" s="14" t="str">
        <f t="shared" si="5"/>
        <v/>
      </c>
      <c r="H182" s="10"/>
      <c r="I182" s="10"/>
      <c r="J182" s="9"/>
      <c r="K182" s="9"/>
      <c r="L182" s="9"/>
      <c r="M182" s="2" t="str">
        <f t="shared" si="4"/>
        <v/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9"/>
      <c r="B183" s="10"/>
      <c r="C183" s="9"/>
      <c r="D183" s="9"/>
      <c r="E183" s="10"/>
      <c r="F183" s="13" t="str">
        <f>IF(E183="RWF",SUMIF('Exch. rate'!A:A,'Expenses report'!C183,'Exch. rate'!B:B),IF(E183="EUR",1,""))</f>
        <v/>
      </c>
      <c r="G183" s="14" t="str">
        <f t="shared" si="5"/>
        <v/>
      </c>
      <c r="H183" s="10"/>
      <c r="I183" s="10"/>
      <c r="J183" s="9"/>
      <c r="K183" s="9"/>
      <c r="L183" s="9"/>
      <c r="M183" s="2" t="str">
        <f t="shared" si="4"/>
        <v/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9"/>
      <c r="B184" s="10"/>
      <c r="C184" s="9"/>
      <c r="D184" s="9"/>
      <c r="E184" s="10"/>
      <c r="F184" s="13" t="str">
        <f>IF(E184="RWF",SUMIF('Exch. rate'!A:A,'Expenses report'!C184,'Exch. rate'!B:B),IF(E184="EUR",1,""))</f>
        <v/>
      </c>
      <c r="G184" s="14" t="str">
        <f t="shared" si="5"/>
        <v/>
      </c>
      <c r="H184" s="10"/>
      <c r="I184" s="10"/>
      <c r="J184" s="9"/>
      <c r="K184" s="9"/>
      <c r="L184" s="9"/>
      <c r="M184" s="2" t="str">
        <f t="shared" si="4"/>
        <v/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9"/>
      <c r="B185" s="10"/>
      <c r="C185" s="9"/>
      <c r="D185" s="9"/>
      <c r="E185" s="10"/>
      <c r="F185" s="13" t="str">
        <f>IF(E185="RWF",SUMIF('Exch. rate'!A:A,'Expenses report'!C185,'Exch. rate'!B:B),IF(E185="EUR",1,""))</f>
        <v/>
      </c>
      <c r="G185" s="14" t="str">
        <f t="shared" si="5"/>
        <v/>
      </c>
      <c r="H185" s="10"/>
      <c r="I185" s="10"/>
      <c r="J185" s="9"/>
      <c r="K185" s="9"/>
      <c r="L185" s="9"/>
      <c r="M185" s="2" t="str">
        <f t="shared" si="4"/>
        <v/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9"/>
      <c r="B186" s="10"/>
      <c r="C186" s="9"/>
      <c r="D186" s="9"/>
      <c r="E186" s="10"/>
      <c r="F186" s="13" t="str">
        <f>IF(E186="RWF",SUMIF('Exch. rate'!A:A,'Expenses report'!C186,'Exch. rate'!B:B),IF(E186="EUR",1,""))</f>
        <v/>
      </c>
      <c r="G186" s="14" t="str">
        <f t="shared" si="5"/>
        <v/>
      </c>
      <c r="H186" s="10"/>
      <c r="I186" s="10"/>
      <c r="J186" s="9"/>
      <c r="K186" s="9"/>
      <c r="L186" s="9"/>
      <c r="M186" s="2" t="str">
        <f t="shared" si="4"/>
        <v/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9"/>
      <c r="B187" s="10"/>
      <c r="C187" s="9"/>
      <c r="D187" s="9"/>
      <c r="E187" s="10"/>
      <c r="F187" s="13" t="str">
        <f>IF(E187="RWF",SUMIF('Exch. rate'!A:A,'Expenses report'!C187,'Exch. rate'!B:B),IF(E187="EUR",1,""))</f>
        <v/>
      </c>
      <c r="G187" s="14" t="str">
        <f t="shared" si="5"/>
        <v/>
      </c>
      <c r="H187" s="10"/>
      <c r="I187" s="10"/>
      <c r="J187" s="9"/>
      <c r="K187" s="9"/>
      <c r="L187" s="9"/>
      <c r="M187" s="2" t="str">
        <f t="shared" si="4"/>
        <v/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9"/>
      <c r="B188" s="10"/>
      <c r="C188" s="9"/>
      <c r="D188" s="9"/>
      <c r="E188" s="10"/>
      <c r="F188" s="13" t="str">
        <f>IF(E188="RWF",SUMIF('Exch. rate'!A:A,'Expenses report'!C188,'Exch. rate'!B:B),IF(E188="EUR",1,""))</f>
        <v/>
      </c>
      <c r="G188" s="14" t="str">
        <f t="shared" si="5"/>
        <v/>
      </c>
      <c r="H188" s="10"/>
      <c r="I188" s="10"/>
      <c r="J188" s="9"/>
      <c r="K188" s="9"/>
      <c r="L188" s="9"/>
      <c r="M188" s="2" t="str">
        <f t="shared" si="4"/>
        <v/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9"/>
      <c r="B189" s="10"/>
      <c r="C189" s="9"/>
      <c r="D189" s="9"/>
      <c r="E189" s="10"/>
      <c r="F189" s="13" t="str">
        <f>IF(E189="RWF",SUMIF('Exch. rate'!A:A,'Expenses report'!C189,'Exch. rate'!B:B),IF(E189="EUR",1,""))</f>
        <v/>
      </c>
      <c r="G189" s="14" t="str">
        <f t="shared" si="5"/>
        <v/>
      </c>
      <c r="H189" s="10"/>
      <c r="I189" s="10"/>
      <c r="J189" s="9"/>
      <c r="K189" s="9"/>
      <c r="L189" s="9"/>
      <c r="M189" s="2" t="str">
        <f t="shared" si="4"/>
        <v/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9"/>
      <c r="B190" s="10"/>
      <c r="C190" s="9"/>
      <c r="D190" s="9"/>
      <c r="E190" s="10"/>
      <c r="F190" s="13" t="str">
        <f>IF(E190="RWF",SUMIF('Exch. rate'!A:A,'Expenses report'!C190,'Exch. rate'!B:B),IF(E190="EUR",1,""))</f>
        <v/>
      </c>
      <c r="G190" s="14" t="str">
        <f t="shared" si="5"/>
        <v/>
      </c>
      <c r="H190" s="10"/>
      <c r="I190" s="10"/>
      <c r="J190" s="9"/>
      <c r="K190" s="9"/>
      <c r="L190" s="9"/>
      <c r="M190" s="2" t="str">
        <f t="shared" si="4"/>
        <v/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9"/>
      <c r="B191" s="10"/>
      <c r="C191" s="9"/>
      <c r="D191" s="9"/>
      <c r="E191" s="10"/>
      <c r="F191" s="13" t="str">
        <f>IF(E191="RWF",SUMIF('Exch. rate'!A:A,'Expenses report'!C191,'Exch. rate'!B:B),IF(E191="EUR",1,""))</f>
        <v/>
      </c>
      <c r="G191" s="14" t="str">
        <f t="shared" si="5"/>
        <v/>
      </c>
      <c r="H191" s="10"/>
      <c r="I191" s="10"/>
      <c r="J191" s="9"/>
      <c r="K191" s="9"/>
      <c r="L191" s="9"/>
      <c r="M191" s="2" t="str">
        <f t="shared" si="4"/>
        <v/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9"/>
      <c r="B192" s="10"/>
      <c r="C192" s="9"/>
      <c r="D192" s="9"/>
      <c r="E192" s="10"/>
      <c r="F192" s="13" t="str">
        <f>IF(E192="RWF",SUMIF('Exch. rate'!A:A,'Expenses report'!C192,'Exch. rate'!B:B),IF(E192="EUR",1,""))</f>
        <v/>
      </c>
      <c r="G192" s="14" t="str">
        <f t="shared" si="5"/>
        <v/>
      </c>
      <c r="H192" s="10"/>
      <c r="I192" s="10"/>
      <c r="J192" s="9"/>
      <c r="K192" s="9"/>
      <c r="L192" s="9"/>
      <c r="M192" s="2" t="str">
        <f t="shared" si="4"/>
        <v/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9"/>
      <c r="B193" s="10"/>
      <c r="C193" s="9"/>
      <c r="D193" s="9"/>
      <c r="E193" s="10"/>
      <c r="F193" s="13" t="str">
        <f>IF(E193="RWF",SUMIF('Exch. rate'!A:A,'Expenses report'!C193,'Exch. rate'!B:B),IF(E193="EUR",1,""))</f>
        <v/>
      </c>
      <c r="G193" s="14" t="str">
        <f t="shared" si="5"/>
        <v/>
      </c>
      <c r="H193" s="10"/>
      <c r="I193" s="10"/>
      <c r="J193" s="9"/>
      <c r="K193" s="9"/>
      <c r="L193" s="9"/>
      <c r="M193" s="2" t="str">
        <f t="shared" si="4"/>
        <v/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9"/>
      <c r="B194" s="10"/>
      <c r="C194" s="9"/>
      <c r="D194" s="9"/>
      <c r="E194" s="10"/>
      <c r="F194" s="13" t="str">
        <f>IF(E194="RWF",SUMIF('Exch. rate'!A:A,'Expenses report'!C194,'Exch. rate'!B:B),IF(E194="EUR",1,""))</f>
        <v/>
      </c>
      <c r="G194" s="14" t="str">
        <f t="shared" si="5"/>
        <v/>
      </c>
      <c r="H194" s="10"/>
      <c r="I194" s="10"/>
      <c r="J194" s="9"/>
      <c r="K194" s="9"/>
      <c r="L194" s="9"/>
      <c r="M194" s="2" t="str">
        <f t="shared" si="4"/>
        <v/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9"/>
      <c r="B195" s="10"/>
      <c r="C195" s="9"/>
      <c r="D195" s="9"/>
      <c r="E195" s="10"/>
      <c r="F195" s="13" t="str">
        <f>IF(E195="RWF",SUMIF('Exch. rate'!A:A,'Expenses report'!C195,'Exch. rate'!B:B),IF(E195="EUR",1,""))</f>
        <v/>
      </c>
      <c r="G195" s="14" t="str">
        <f t="shared" si="5"/>
        <v/>
      </c>
      <c r="H195" s="10"/>
      <c r="I195" s="10"/>
      <c r="J195" s="9"/>
      <c r="K195" s="9"/>
      <c r="L195" s="9"/>
      <c r="M195" s="2" t="str">
        <f t="shared" si="4"/>
        <v/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9"/>
      <c r="B196" s="10"/>
      <c r="C196" s="9"/>
      <c r="D196" s="9"/>
      <c r="E196" s="10"/>
      <c r="F196" s="13" t="str">
        <f>IF(E196="RWF",SUMIF('Exch. rate'!A:A,'Expenses report'!C196,'Exch. rate'!B:B),IF(E196="EUR",1,""))</f>
        <v/>
      </c>
      <c r="G196" s="14" t="str">
        <f t="shared" si="5"/>
        <v/>
      </c>
      <c r="H196" s="10"/>
      <c r="I196" s="10"/>
      <c r="J196" s="9"/>
      <c r="K196" s="9"/>
      <c r="L196" s="9"/>
      <c r="M196" s="2" t="str">
        <f t="shared" si="4"/>
        <v/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9"/>
      <c r="B197" s="10"/>
      <c r="C197" s="9"/>
      <c r="D197" s="9"/>
      <c r="E197" s="10"/>
      <c r="F197" s="13" t="str">
        <f>IF(E197="RWF",SUMIF('Exch. rate'!A:A,'Expenses report'!C197,'Exch. rate'!B:B),IF(E197="EUR",1,""))</f>
        <v/>
      </c>
      <c r="G197" s="14" t="str">
        <f t="shared" si="5"/>
        <v/>
      </c>
      <c r="H197" s="10"/>
      <c r="I197" s="10"/>
      <c r="J197" s="9"/>
      <c r="K197" s="9"/>
      <c r="L197" s="9"/>
      <c r="M197" s="2" t="str">
        <f t="shared" si="4"/>
        <v/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9"/>
      <c r="B198" s="10"/>
      <c r="C198" s="9"/>
      <c r="D198" s="9"/>
      <c r="E198" s="10"/>
      <c r="F198" s="13" t="str">
        <f>IF(E198="RWF",SUMIF('Exch. rate'!A:A,'Expenses report'!C198,'Exch. rate'!B:B),IF(E198="EUR",1,""))</f>
        <v/>
      </c>
      <c r="G198" s="14" t="str">
        <f t="shared" si="5"/>
        <v/>
      </c>
      <c r="H198" s="10"/>
      <c r="I198" s="10"/>
      <c r="J198" s="9"/>
      <c r="K198" s="9"/>
      <c r="L198" s="9"/>
      <c r="M198" s="2" t="str">
        <f t="shared" si="4"/>
        <v/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9"/>
      <c r="B199" s="10"/>
      <c r="C199" s="9"/>
      <c r="D199" s="9"/>
      <c r="E199" s="10"/>
      <c r="F199" s="13" t="str">
        <f>IF(E199="RWF",SUMIF('Exch. rate'!A:A,'Expenses report'!C199,'Exch. rate'!B:B),IF(E199="EUR",1,""))</f>
        <v/>
      </c>
      <c r="G199" s="14" t="str">
        <f t="shared" si="5"/>
        <v/>
      </c>
      <c r="H199" s="10"/>
      <c r="I199" s="10"/>
      <c r="J199" s="9"/>
      <c r="K199" s="9"/>
      <c r="L199" s="9"/>
      <c r="M199" s="2" t="str">
        <f t="shared" si="4"/>
        <v/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9"/>
      <c r="B200" s="10"/>
      <c r="C200" s="9"/>
      <c r="D200" s="9"/>
      <c r="E200" s="10"/>
      <c r="F200" s="13" t="str">
        <f>IF(E200="RWF",SUMIF('Exch. rate'!A:A,'Expenses report'!C200,'Exch. rate'!B:B),IF(E200="EUR",1,""))</f>
        <v/>
      </c>
      <c r="G200" s="14" t="str">
        <f t="shared" si="5"/>
        <v/>
      </c>
      <c r="H200" s="10"/>
      <c r="I200" s="10"/>
      <c r="J200" s="9"/>
      <c r="K200" s="9"/>
      <c r="L200" s="9"/>
      <c r="M200" s="2" t="str">
        <f t="shared" si="4"/>
        <v/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9"/>
      <c r="B201" s="10"/>
      <c r="C201" s="9"/>
      <c r="D201" s="9"/>
      <c r="E201" s="10"/>
      <c r="F201" s="13" t="str">
        <f>IF(E201="RWF",SUMIF('Exch. rate'!A:A,'Expenses report'!C201,'Exch. rate'!B:B),IF(E201="EUR",1,""))</f>
        <v/>
      </c>
      <c r="G201" s="14" t="str">
        <f t="shared" si="5"/>
        <v/>
      </c>
      <c r="H201" s="10"/>
      <c r="I201" s="10"/>
      <c r="J201" s="9"/>
      <c r="K201" s="9"/>
      <c r="L201" s="9"/>
      <c r="M201" s="2" t="str">
        <f t="shared" si="4"/>
        <v/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9"/>
      <c r="B202" s="10"/>
      <c r="C202" s="9"/>
      <c r="D202" s="9"/>
      <c r="E202" s="10"/>
      <c r="F202" s="13" t="str">
        <f>IF(E202="RWF",SUMIF('Exch. rate'!A:A,'Expenses report'!C202,'Exch. rate'!B:B),IF(E202="EUR",1,""))</f>
        <v/>
      </c>
      <c r="G202" s="14" t="str">
        <f t="shared" si="5"/>
        <v/>
      </c>
      <c r="H202" s="10"/>
      <c r="I202" s="10"/>
      <c r="J202" s="9"/>
      <c r="K202" s="9"/>
      <c r="L202" s="9"/>
      <c r="M202" s="2" t="str">
        <f t="shared" si="4"/>
        <v/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9"/>
      <c r="B203" s="10"/>
      <c r="C203" s="9"/>
      <c r="D203" s="9"/>
      <c r="E203" s="10"/>
      <c r="F203" s="13" t="str">
        <f>IF(E203="RWF",SUMIF('Exch. rate'!A:A,'Expenses report'!C203,'Exch. rate'!B:B),IF(E203="EUR",1,""))</f>
        <v/>
      </c>
      <c r="G203" s="14" t="str">
        <f t="shared" si="5"/>
        <v/>
      </c>
      <c r="H203" s="10"/>
      <c r="I203" s="10"/>
      <c r="J203" s="9"/>
      <c r="K203" s="9"/>
      <c r="L203" s="9"/>
      <c r="M203" s="2" t="str">
        <f t="shared" si="4"/>
        <v/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9"/>
      <c r="B204" s="10"/>
      <c r="C204" s="9"/>
      <c r="D204" s="9"/>
      <c r="E204" s="10"/>
      <c r="F204" s="13" t="str">
        <f>IF(E204="RWF",SUMIF('Exch. rate'!A:A,'Expenses report'!C204,'Exch. rate'!B:B),IF(E204="EUR",1,""))</f>
        <v/>
      </c>
      <c r="G204" s="14" t="str">
        <f t="shared" si="5"/>
        <v/>
      </c>
      <c r="H204" s="10"/>
      <c r="I204" s="10"/>
      <c r="J204" s="9"/>
      <c r="K204" s="9"/>
      <c r="L204" s="9"/>
      <c r="M204" s="2" t="str">
        <f t="shared" si="4"/>
        <v/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9"/>
      <c r="B205" s="10"/>
      <c r="C205" s="9"/>
      <c r="D205" s="9"/>
      <c r="E205" s="10"/>
      <c r="F205" s="13" t="str">
        <f>IF(E205="RWF",SUMIF('Exch. rate'!A:A,'Expenses report'!C205,'Exch. rate'!B:B),IF(E205="EUR",1,""))</f>
        <v/>
      </c>
      <c r="G205" s="14" t="str">
        <f t="shared" si="5"/>
        <v/>
      </c>
      <c r="H205" s="10"/>
      <c r="I205" s="10"/>
      <c r="J205" s="9"/>
      <c r="K205" s="9"/>
      <c r="L205" s="9"/>
      <c r="M205" s="2" t="str">
        <f t="shared" si="4"/>
        <v/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9"/>
      <c r="B206" s="10"/>
      <c r="C206" s="9"/>
      <c r="D206" s="9"/>
      <c r="E206" s="10"/>
      <c r="F206" s="13" t="str">
        <f>IF(E206="RWF",SUMIF('Exch. rate'!A:A,'Expenses report'!C206,'Exch. rate'!B:B),IF(E206="EUR",1,""))</f>
        <v/>
      </c>
      <c r="G206" s="14" t="str">
        <f t="shared" si="5"/>
        <v/>
      </c>
      <c r="H206" s="10"/>
      <c r="I206" s="10"/>
      <c r="J206" s="9"/>
      <c r="K206" s="9"/>
      <c r="L206" s="9"/>
      <c r="M206" s="2" t="str">
        <f t="shared" si="4"/>
        <v/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9"/>
      <c r="B207" s="10"/>
      <c r="C207" s="9"/>
      <c r="D207" s="9"/>
      <c r="E207" s="10"/>
      <c r="F207" s="13" t="str">
        <f>IF(E207="RWF",SUMIF('Exch. rate'!A:A,'Expenses report'!C207,'Exch. rate'!B:B),IF(E207="EUR",1,""))</f>
        <v/>
      </c>
      <c r="G207" s="14" t="str">
        <f t="shared" si="5"/>
        <v/>
      </c>
      <c r="H207" s="10"/>
      <c r="I207" s="10"/>
      <c r="J207" s="9"/>
      <c r="K207" s="9"/>
      <c r="L207" s="9"/>
      <c r="M207" s="2" t="str">
        <f t="shared" si="4"/>
        <v/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9"/>
      <c r="B208" s="10"/>
      <c r="C208" s="9"/>
      <c r="D208" s="9"/>
      <c r="E208" s="10"/>
      <c r="F208" s="13" t="str">
        <f>IF(E208="RWF",SUMIF('Exch. rate'!A:A,'Expenses report'!C208,'Exch. rate'!B:B),IF(E208="EUR",1,""))</f>
        <v/>
      </c>
      <c r="G208" s="14" t="str">
        <f t="shared" si="5"/>
        <v/>
      </c>
      <c r="H208" s="10"/>
      <c r="I208" s="10"/>
      <c r="J208" s="9"/>
      <c r="K208" s="9"/>
      <c r="L208" s="9"/>
      <c r="M208" s="2" t="str">
        <f t="shared" si="4"/>
        <v/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9"/>
      <c r="B209" s="10"/>
      <c r="C209" s="9"/>
      <c r="D209" s="9"/>
      <c r="E209" s="10"/>
      <c r="F209" s="13" t="str">
        <f>IF(E209="RWF",SUMIF('Exch. rate'!A:A,'Expenses report'!C209,'Exch. rate'!B:B),IF(E209="EUR",1,""))</f>
        <v/>
      </c>
      <c r="G209" s="14" t="str">
        <f t="shared" si="5"/>
        <v/>
      </c>
      <c r="H209" s="10"/>
      <c r="I209" s="10"/>
      <c r="J209" s="9"/>
      <c r="K209" s="9"/>
      <c r="L209" s="9"/>
      <c r="M209" s="2" t="str">
        <f t="shared" si="4"/>
        <v/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9"/>
      <c r="B210" s="10"/>
      <c r="C210" s="9"/>
      <c r="D210" s="9"/>
      <c r="E210" s="10"/>
      <c r="F210" s="13" t="str">
        <f>IF(E210="RWF",SUMIF('Exch. rate'!A:A,'Expenses report'!C210,'Exch. rate'!B:B),IF(E210="EUR",1,""))</f>
        <v/>
      </c>
      <c r="G210" s="14" t="str">
        <f t="shared" si="5"/>
        <v/>
      </c>
      <c r="H210" s="10"/>
      <c r="I210" s="10"/>
      <c r="J210" s="9"/>
      <c r="K210" s="9"/>
      <c r="L210" s="9"/>
      <c r="M210" s="2" t="str">
        <f t="shared" si="4"/>
        <v/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9"/>
      <c r="B211" s="10"/>
      <c r="C211" s="9"/>
      <c r="D211" s="9"/>
      <c r="E211" s="10"/>
      <c r="F211" s="13" t="str">
        <f>IF(E211="RWF",SUMIF('Exch. rate'!A:A,'Expenses report'!C211,'Exch. rate'!B:B),IF(E211="EUR",1,""))</f>
        <v/>
      </c>
      <c r="G211" s="14" t="str">
        <f t="shared" si="5"/>
        <v/>
      </c>
      <c r="H211" s="10"/>
      <c r="I211" s="10"/>
      <c r="J211" s="9"/>
      <c r="K211" s="9"/>
      <c r="L211" s="9"/>
      <c r="M211" s="2" t="str">
        <f t="shared" si="4"/>
        <v/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9"/>
      <c r="B212" s="10"/>
      <c r="C212" s="9"/>
      <c r="D212" s="9"/>
      <c r="E212" s="10"/>
      <c r="F212" s="13" t="str">
        <f>IF(E212="RWF",SUMIF('Exch. rate'!A:A,'Expenses report'!C212,'Exch. rate'!B:B),IF(E212="EUR",1,""))</f>
        <v/>
      </c>
      <c r="G212" s="14" t="str">
        <f t="shared" si="5"/>
        <v/>
      </c>
      <c r="H212" s="10"/>
      <c r="I212" s="10"/>
      <c r="J212" s="9"/>
      <c r="K212" s="9"/>
      <c r="L212" s="9"/>
      <c r="M212" s="2" t="str">
        <f t="shared" si="4"/>
        <v/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9"/>
      <c r="B213" s="10"/>
      <c r="C213" s="9"/>
      <c r="D213" s="9"/>
      <c r="E213" s="10"/>
      <c r="F213" s="13" t="str">
        <f>IF(E213="RWF",SUMIF('Exch. rate'!A:A,'Expenses report'!C213,'Exch. rate'!B:B),IF(E213="EUR",1,""))</f>
        <v/>
      </c>
      <c r="G213" s="14" t="str">
        <f t="shared" si="5"/>
        <v/>
      </c>
      <c r="H213" s="10"/>
      <c r="I213" s="10"/>
      <c r="J213" s="9"/>
      <c r="K213" s="9"/>
      <c r="L213" s="9"/>
      <c r="M213" s="2" t="str">
        <f t="shared" si="4"/>
        <v/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9"/>
      <c r="B214" s="10"/>
      <c r="C214" s="9"/>
      <c r="D214" s="9"/>
      <c r="E214" s="10"/>
      <c r="F214" s="13" t="str">
        <f>IF(E214="RWF",SUMIF('Exch. rate'!A:A,'Expenses report'!C214,'Exch. rate'!B:B),IF(E214="EUR",1,""))</f>
        <v/>
      </c>
      <c r="G214" s="14" t="str">
        <f t="shared" si="5"/>
        <v/>
      </c>
      <c r="H214" s="10"/>
      <c r="I214" s="10"/>
      <c r="J214" s="9"/>
      <c r="K214" s="9"/>
      <c r="L214" s="9"/>
      <c r="M214" s="2" t="str">
        <f t="shared" si="4"/>
        <v/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9"/>
      <c r="B215" s="10"/>
      <c r="C215" s="9"/>
      <c r="D215" s="9"/>
      <c r="E215" s="10"/>
      <c r="F215" s="13" t="str">
        <f>IF(E215="RWF",SUMIF('Exch. rate'!A:A,'Expenses report'!C215,'Exch. rate'!B:B),IF(E215="EUR",1,""))</f>
        <v/>
      </c>
      <c r="G215" s="14" t="str">
        <f t="shared" si="5"/>
        <v/>
      </c>
      <c r="H215" s="10"/>
      <c r="I215" s="10"/>
      <c r="J215" s="9"/>
      <c r="K215" s="9"/>
      <c r="L215" s="9"/>
      <c r="M215" s="2" t="str">
        <f t="shared" si="4"/>
        <v/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9"/>
      <c r="B216" s="10"/>
      <c r="C216" s="9"/>
      <c r="D216" s="9"/>
      <c r="E216" s="10"/>
      <c r="F216" s="13" t="str">
        <f>IF(E216="RWF",SUMIF('Exch. rate'!A:A,'Expenses report'!C216,'Exch. rate'!B:B),IF(E216="EUR",1,""))</f>
        <v/>
      </c>
      <c r="G216" s="14" t="str">
        <f t="shared" si="5"/>
        <v/>
      </c>
      <c r="H216" s="10"/>
      <c r="I216" s="10"/>
      <c r="J216" s="9"/>
      <c r="K216" s="9"/>
      <c r="L216" s="9"/>
      <c r="M216" s="2" t="str">
        <f t="shared" si="4"/>
        <v/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9"/>
      <c r="B217" s="10"/>
      <c r="C217" s="9"/>
      <c r="D217" s="9"/>
      <c r="E217" s="10"/>
      <c r="F217" s="13" t="str">
        <f>IF(E217="RWF",SUMIF('Exch. rate'!A:A,'Expenses report'!C217,'Exch. rate'!B:B),IF(E217="EUR",1,""))</f>
        <v/>
      </c>
      <c r="G217" s="14" t="str">
        <f t="shared" si="5"/>
        <v/>
      </c>
      <c r="H217" s="10"/>
      <c r="I217" s="10"/>
      <c r="J217" s="9"/>
      <c r="K217" s="9"/>
      <c r="L217" s="9"/>
      <c r="M217" s="2" t="str">
        <f t="shared" si="4"/>
        <v/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9"/>
      <c r="B218" s="10"/>
      <c r="C218" s="9"/>
      <c r="D218" s="9"/>
      <c r="E218" s="10"/>
      <c r="F218" s="13" t="str">
        <f>IF(E218="RWF",SUMIF('Exch. rate'!A:A,'Expenses report'!C218,'Exch. rate'!B:B),IF(E218="EUR",1,""))</f>
        <v/>
      </c>
      <c r="G218" s="14" t="str">
        <f t="shared" si="5"/>
        <v/>
      </c>
      <c r="H218" s="10"/>
      <c r="I218" s="10"/>
      <c r="J218" s="9"/>
      <c r="K218" s="9"/>
      <c r="L218" s="9"/>
      <c r="M218" s="2" t="str">
        <f t="shared" si="4"/>
        <v/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9"/>
      <c r="B219" s="10"/>
      <c r="C219" s="9"/>
      <c r="D219" s="9"/>
      <c r="E219" s="10"/>
      <c r="F219" s="13" t="str">
        <f>IF(E219="RWF",SUMIF('Exch. rate'!A:A,'Expenses report'!C219,'Exch. rate'!B:B),IF(E219="EUR",1,""))</f>
        <v/>
      </c>
      <c r="G219" s="14" t="str">
        <f t="shared" si="5"/>
        <v/>
      </c>
      <c r="H219" s="10"/>
      <c r="I219" s="10"/>
      <c r="J219" s="9"/>
      <c r="K219" s="9"/>
      <c r="L219" s="9"/>
      <c r="M219" s="2" t="str">
        <f t="shared" si="4"/>
        <v/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9"/>
      <c r="B220" s="10"/>
      <c r="C220" s="9"/>
      <c r="D220" s="9"/>
      <c r="E220" s="10"/>
      <c r="F220" s="13" t="str">
        <f>IF(E220="RWF",SUMIF('Exch. rate'!A:A,'Expenses report'!C220,'Exch. rate'!B:B),IF(E220="EUR",1,""))</f>
        <v/>
      </c>
      <c r="G220" s="14" t="str">
        <f t="shared" si="5"/>
        <v/>
      </c>
      <c r="H220" s="10"/>
      <c r="I220" s="10"/>
      <c r="J220" s="9"/>
      <c r="K220" s="9"/>
      <c r="L220" s="9"/>
      <c r="M220" s="2" t="str">
        <f t="shared" si="4"/>
        <v/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9"/>
      <c r="B221" s="10"/>
      <c r="C221" s="9"/>
      <c r="D221" s="9"/>
      <c r="E221" s="10"/>
      <c r="F221" s="13" t="str">
        <f>IF(E221="RWF",SUMIF('Exch. rate'!A:A,'Expenses report'!C221,'Exch. rate'!B:B),IF(E221="EUR",1,""))</f>
        <v/>
      </c>
      <c r="G221" s="14" t="str">
        <f t="shared" si="5"/>
        <v/>
      </c>
      <c r="H221" s="10"/>
      <c r="I221" s="10"/>
      <c r="J221" s="9"/>
      <c r="K221" s="9"/>
      <c r="L221" s="9"/>
      <c r="M221" s="2" t="str">
        <f t="shared" si="4"/>
        <v/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9"/>
      <c r="B222" s="10"/>
      <c r="C222" s="9"/>
      <c r="D222" s="9"/>
      <c r="E222" s="10"/>
      <c r="F222" s="13" t="str">
        <f>IF(E222="RWF",SUMIF('Exch. rate'!A:A,'Expenses report'!C222,'Exch. rate'!B:B),IF(E222="EUR",1,""))</f>
        <v/>
      </c>
      <c r="G222" s="14" t="str">
        <f t="shared" si="5"/>
        <v/>
      </c>
      <c r="H222" s="10"/>
      <c r="I222" s="10"/>
      <c r="J222" s="9"/>
      <c r="K222" s="9"/>
      <c r="L222" s="9"/>
      <c r="M222" s="2" t="str">
        <f t="shared" si="4"/>
        <v/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9"/>
      <c r="B223" s="10"/>
      <c r="C223" s="9"/>
      <c r="D223" s="9"/>
      <c r="E223" s="10"/>
      <c r="F223" s="13" t="str">
        <f>IF(E223="RWF",SUMIF('Exch. rate'!A:A,'Expenses report'!C223,'Exch. rate'!B:B),IF(E223="EUR",1,""))</f>
        <v/>
      </c>
      <c r="G223" s="14" t="str">
        <f t="shared" si="5"/>
        <v/>
      </c>
      <c r="H223" s="10"/>
      <c r="I223" s="10"/>
      <c r="J223" s="9"/>
      <c r="K223" s="9"/>
      <c r="L223" s="9"/>
      <c r="M223" s="2" t="str">
        <f t="shared" si="4"/>
        <v/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9"/>
      <c r="B224" s="10"/>
      <c r="C224" s="9"/>
      <c r="D224" s="9"/>
      <c r="E224" s="10"/>
      <c r="F224" s="13" t="str">
        <f>IF(E224="RWF",SUMIF('Exch. rate'!A:A,'Expenses report'!C224,'Exch. rate'!B:B),IF(E224="EUR",1,""))</f>
        <v/>
      </c>
      <c r="G224" s="14" t="str">
        <f t="shared" si="5"/>
        <v/>
      </c>
      <c r="H224" s="10"/>
      <c r="I224" s="10"/>
      <c r="J224" s="9"/>
      <c r="K224" s="9"/>
      <c r="L224" s="9"/>
      <c r="M224" s="2" t="str">
        <f t="shared" si="4"/>
        <v/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9"/>
      <c r="B225" s="10"/>
      <c r="C225" s="9"/>
      <c r="D225" s="9"/>
      <c r="E225" s="10"/>
      <c r="F225" s="13" t="str">
        <f>IF(E225="RWF",SUMIF('Exch. rate'!A:A,'Expenses report'!C225,'Exch. rate'!B:B),IF(E225="EUR",1,""))</f>
        <v/>
      </c>
      <c r="G225" s="14" t="str">
        <f t="shared" si="5"/>
        <v/>
      </c>
      <c r="H225" s="10"/>
      <c r="I225" s="10"/>
      <c r="J225" s="9"/>
      <c r="K225" s="9"/>
      <c r="L225" s="9"/>
      <c r="M225" s="2" t="str">
        <f t="shared" si="4"/>
        <v/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9"/>
      <c r="B226" s="10"/>
      <c r="C226" s="9"/>
      <c r="D226" s="9"/>
      <c r="E226" s="10"/>
      <c r="F226" s="13" t="str">
        <f>IF(E226="RWF",SUMIF('Exch. rate'!A:A,'Expenses report'!C226,'Exch. rate'!B:B),IF(E226="EUR",1,""))</f>
        <v/>
      </c>
      <c r="G226" s="14" t="str">
        <f t="shared" si="5"/>
        <v/>
      </c>
      <c r="H226" s="10"/>
      <c r="I226" s="10"/>
      <c r="J226" s="9"/>
      <c r="K226" s="9"/>
      <c r="L226" s="9"/>
      <c r="M226" s="2" t="str">
        <f t="shared" si="4"/>
        <v/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9"/>
      <c r="B227" s="10"/>
      <c r="C227" s="9"/>
      <c r="D227" s="9"/>
      <c r="E227" s="10"/>
      <c r="F227" s="13" t="str">
        <f>IF(E227="RWF",SUMIF('Exch. rate'!A:A,'Expenses report'!C227,'Exch. rate'!B:B),IF(E227="EUR",1,""))</f>
        <v/>
      </c>
      <c r="G227" s="14" t="str">
        <f t="shared" si="5"/>
        <v/>
      </c>
      <c r="H227" s="10"/>
      <c r="I227" s="10"/>
      <c r="J227" s="9"/>
      <c r="K227" s="9"/>
      <c r="L227" s="9"/>
      <c r="M227" s="2" t="str">
        <f t="shared" si="4"/>
        <v/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9"/>
      <c r="B228" s="10"/>
      <c r="C228" s="9"/>
      <c r="D228" s="9"/>
      <c r="E228" s="10"/>
      <c r="F228" s="13" t="str">
        <f>IF(E228="RWF",SUMIF('Exch. rate'!A:A,'Expenses report'!C228,'Exch. rate'!B:B),IF(E228="EUR",1,""))</f>
        <v/>
      </c>
      <c r="G228" s="14" t="str">
        <f t="shared" si="5"/>
        <v/>
      </c>
      <c r="H228" s="10"/>
      <c r="I228" s="10"/>
      <c r="J228" s="9"/>
      <c r="K228" s="9"/>
      <c r="L228" s="9"/>
      <c r="M228" s="2" t="str">
        <f t="shared" si="4"/>
        <v/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9"/>
      <c r="B229" s="10"/>
      <c r="C229" s="9"/>
      <c r="D229" s="9"/>
      <c r="E229" s="10"/>
      <c r="F229" s="13" t="str">
        <f>IF(E229="RWF",SUMIF('Exch. rate'!A:A,'Expenses report'!C229,'Exch. rate'!B:B),IF(E229="EUR",1,""))</f>
        <v/>
      </c>
      <c r="G229" s="14" t="str">
        <f t="shared" si="5"/>
        <v/>
      </c>
      <c r="H229" s="10"/>
      <c r="I229" s="10"/>
      <c r="J229" s="9"/>
      <c r="K229" s="9"/>
      <c r="L229" s="9"/>
      <c r="M229" s="2" t="str">
        <f t="shared" si="4"/>
        <v/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9"/>
      <c r="B230" s="10"/>
      <c r="C230" s="9"/>
      <c r="D230" s="9"/>
      <c r="E230" s="10"/>
      <c r="F230" s="13" t="str">
        <f>IF(E230="RWF",SUMIF('Exch. rate'!A:A,'Expenses report'!C230,'Exch. rate'!B:B),IF(E230="EUR",1,""))</f>
        <v/>
      </c>
      <c r="G230" s="14" t="str">
        <f t="shared" si="5"/>
        <v/>
      </c>
      <c r="H230" s="10"/>
      <c r="I230" s="10"/>
      <c r="J230" s="9"/>
      <c r="K230" s="9"/>
      <c r="L230" s="9"/>
      <c r="M230" s="2" t="str">
        <f t="shared" si="4"/>
        <v/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9"/>
      <c r="B231" s="10"/>
      <c r="C231" s="9"/>
      <c r="D231" s="9"/>
      <c r="E231" s="10"/>
      <c r="F231" s="13" t="str">
        <f>IF(E231="RWF",SUMIF('Exch. rate'!A:A,'Expenses report'!C231,'Exch. rate'!B:B),IF(E231="EUR",1,""))</f>
        <v/>
      </c>
      <c r="G231" s="14" t="str">
        <f t="shared" si="5"/>
        <v/>
      </c>
      <c r="H231" s="10"/>
      <c r="I231" s="10"/>
      <c r="J231" s="9"/>
      <c r="K231" s="9"/>
      <c r="L231" s="9"/>
      <c r="M231" s="2" t="str">
        <f t="shared" si="4"/>
        <v/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9"/>
      <c r="B232" s="10"/>
      <c r="C232" s="9"/>
      <c r="D232" s="9"/>
      <c r="E232" s="10"/>
      <c r="F232" s="13" t="str">
        <f>IF(E232="RWF",SUMIF('Exch. rate'!A:A,'Expenses report'!C232,'Exch. rate'!B:B),IF(E232="EUR",1,""))</f>
        <v/>
      </c>
      <c r="G232" s="14" t="str">
        <f t="shared" si="5"/>
        <v/>
      </c>
      <c r="H232" s="10"/>
      <c r="I232" s="10"/>
      <c r="J232" s="9"/>
      <c r="K232" s="9"/>
      <c r="L232" s="9"/>
      <c r="M232" s="2" t="str">
        <f t="shared" si="4"/>
        <v/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9"/>
      <c r="B233" s="10"/>
      <c r="C233" s="9"/>
      <c r="D233" s="9"/>
      <c r="E233" s="10"/>
      <c r="F233" s="13" t="str">
        <f>IF(E233="RWF",SUMIF('Exch. rate'!A:A,'Expenses report'!C233,'Exch. rate'!B:B),IF(E233="EUR",1,""))</f>
        <v/>
      </c>
      <c r="G233" s="14" t="str">
        <f t="shared" si="5"/>
        <v/>
      </c>
      <c r="H233" s="10"/>
      <c r="I233" s="10"/>
      <c r="J233" s="9"/>
      <c r="K233" s="9"/>
      <c r="L233" s="9"/>
      <c r="M233" s="2" t="str">
        <f t="shared" si="4"/>
        <v/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9"/>
      <c r="B234" s="10"/>
      <c r="C234" s="9"/>
      <c r="D234" s="9"/>
      <c r="E234" s="10"/>
      <c r="F234" s="13" t="str">
        <f>IF(E234="RWF",SUMIF('Exch. rate'!A:A,'Expenses report'!C234,'Exch. rate'!B:B),IF(E234="EUR",1,""))</f>
        <v/>
      </c>
      <c r="G234" s="14" t="str">
        <f t="shared" si="5"/>
        <v/>
      </c>
      <c r="H234" s="10"/>
      <c r="I234" s="10"/>
      <c r="J234" s="9"/>
      <c r="K234" s="9"/>
      <c r="L234" s="9"/>
      <c r="M234" s="2" t="str">
        <f t="shared" si="4"/>
        <v/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9"/>
      <c r="B235" s="10"/>
      <c r="C235" s="9"/>
      <c r="D235" s="9"/>
      <c r="E235" s="10"/>
      <c r="F235" s="13" t="str">
        <f>IF(E235="RWF",SUMIF('Exch. rate'!A:A,'Expenses report'!C235,'Exch. rate'!B:B),IF(E235="EUR",1,""))</f>
        <v/>
      </c>
      <c r="G235" s="14" t="str">
        <f t="shared" si="5"/>
        <v/>
      </c>
      <c r="H235" s="10"/>
      <c r="I235" s="10"/>
      <c r="J235" s="9"/>
      <c r="K235" s="9"/>
      <c r="L235" s="9"/>
      <c r="M235" s="2" t="str">
        <f t="shared" si="4"/>
        <v/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9"/>
      <c r="B236" s="10"/>
      <c r="C236" s="9"/>
      <c r="D236" s="9"/>
      <c r="E236" s="10"/>
      <c r="F236" s="13" t="str">
        <f>IF(E236="RWF",SUMIF('Exch. rate'!A:A,'Expenses report'!C236,'Exch. rate'!B:B),IF(E236="EUR",1,""))</f>
        <v/>
      </c>
      <c r="G236" s="14" t="str">
        <f t="shared" si="5"/>
        <v/>
      </c>
      <c r="H236" s="10"/>
      <c r="I236" s="10"/>
      <c r="J236" s="9"/>
      <c r="K236" s="9"/>
      <c r="L236" s="9"/>
      <c r="M236" s="2" t="str">
        <f t="shared" si="4"/>
        <v/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9"/>
      <c r="B237" s="10"/>
      <c r="C237" s="9"/>
      <c r="D237" s="9"/>
      <c r="E237" s="10"/>
      <c r="F237" s="13" t="str">
        <f>IF(E237="RWF",SUMIF('Exch. rate'!A:A,'Expenses report'!C237,'Exch. rate'!B:B),IF(E237="EUR",1,""))</f>
        <v/>
      </c>
      <c r="G237" s="14" t="str">
        <f t="shared" si="5"/>
        <v/>
      </c>
      <c r="H237" s="10"/>
      <c r="I237" s="10"/>
      <c r="J237" s="9"/>
      <c r="K237" s="9"/>
      <c r="L237" s="9"/>
      <c r="M237" s="2" t="str">
        <f t="shared" si="4"/>
        <v/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9"/>
      <c r="B238" s="10"/>
      <c r="C238" s="9"/>
      <c r="D238" s="9"/>
      <c r="E238" s="10"/>
      <c r="F238" s="13" t="str">
        <f>IF(E238="RWF",SUMIF('Exch. rate'!A:A,'Expenses report'!C238,'Exch. rate'!B:B),IF(E238="EUR",1,""))</f>
        <v/>
      </c>
      <c r="G238" s="14" t="str">
        <f t="shared" si="5"/>
        <v/>
      </c>
      <c r="H238" s="10"/>
      <c r="I238" s="10"/>
      <c r="J238" s="9"/>
      <c r="K238" s="9"/>
      <c r="L238" s="9"/>
      <c r="M238" s="2" t="str">
        <f t="shared" si="4"/>
        <v/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9"/>
      <c r="B239" s="10"/>
      <c r="C239" s="9"/>
      <c r="D239" s="9"/>
      <c r="E239" s="10"/>
      <c r="F239" s="13" t="str">
        <f>IF(E239="RWF",SUMIF('Exch. rate'!A:A,'Expenses report'!C239,'Exch. rate'!B:B),IF(E239="EUR",1,""))</f>
        <v/>
      </c>
      <c r="G239" s="14" t="str">
        <f t="shared" si="5"/>
        <v/>
      </c>
      <c r="H239" s="10"/>
      <c r="I239" s="10"/>
      <c r="J239" s="9"/>
      <c r="K239" s="9"/>
      <c r="L239" s="9"/>
      <c r="M239" s="2" t="str">
        <f t="shared" si="4"/>
        <v/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9"/>
      <c r="B240" s="10"/>
      <c r="C240" s="9"/>
      <c r="D240" s="9"/>
      <c r="E240" s="10"/>
      <c r="F240" s="13" t="str">
        <f>IF(E240="RWF",SUMIF('Exch. rate'!A:A,'Expenses report'!C240,'Exch. rate'!B:B),IF(E240="EUR",1,""))</f>
        <v/>
      </c>
      <c r="G240" s="14" t="str">
        <f t="shared" si="5"/>
        <v/>
      </c>
      <c r="H240" s="10"/>
      <c r="I240" s="10"/>
      <c r="J240" s="9"/>
      <c r="K240" s="9"/>
      <c r="L240" s="9"/>
      <c r="M240" s="2" t="str">
        <f t="shared" si="4"/>
        <v/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9"/>
      <c r="B241" s="10"/>
      <c r="C241" s="9"/>
      <c r="D241" s="9"/>
      <c r="E241" s="10"/>
      <c r="F241" s="13" t="str">
        <f>IF(E241="RWF",SUMIF('Exch. rate'!A:A,'Expenses report'!C241,'Exch. rate'!B:B),IF(E241="EUR",1,""))</f>
        <v/>
      </c>
      <c r="G241" s="14" t="str">
        <f t="shared" si="5"/>
        <v/>
      </c>
      <c r="H241" s="10"/>
      <c r="I241" s="10"/>
      <c r="J241" s="9"/>
      <c r="K241" s="9"/>
      <c r="L241" s="9"/>
      <c r="M241" s="2" t="str">
        <f t="shared" si="4"/>
        <v/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9"/>
      <c r="B242" s="10"/>
      <c r="C242" s="9"/>
      <c r="D242" s="9"/>
      <c r="E242" s="10"/>
      <c r="F242" s="13" t="str">
        <f>IF(E242="RWF",SUMIF('Exch. rate'!A:A,'Expenses report'!C242,'Exch. rate'!B:B),IF(E242="EUR",1,""))</f>
        <v/>
      </c>
      <c r="G242" s="14" t="str">
        <f t="shared" si="5"/>
        <v/>
      </c>
      <c r="H242" s="10"/>
      <c r="I242" s="10"/>
      <c r="J242" s="9"/>
      <c r="K242" s="9"/>
      <c r="L242" s="9"/>
      <c r="M242" s="2" t="str">
        <f t="shared" si="4"/>
        <v/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9"/>
      <c r="B243" s="10"/>
      <c r="C243" s="9"/>
      <c r="D243" s="9"/>
      <c r="E243" s="10"/>
      <c r="F243" s="13" t="str">
        <f>IF(E243="RWF",SUMIF('Exch. rate'!A:A,'Expenses report'!C243,'Exch. rate'!B:B),IF(E243="EUR",1,""))</f>
        <v/>
      </c>
      <c r="G243" s="14" t="str">
        <f t="shared" si="5"/>
        <v/>
      </c>
      <c r="H243" s="10"/>
      <c r="I243" s="10"/>
      <c r="J243" s="9"/>
      <c r="K243" s="9"/>
      <c r="L243" s="9"/>
      <c r="M243" s="2" t="str">
        <f t="shared" si="4"/>
        <v/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9"/>
      <c r="B244" s="10"/>
      <c r="C244" s="9"/>
      <c r="D244" s="9"/>
      <c r="E244" s="10"/>
      <c r="F244" s="13" t="str">
        <f>IF(E244="RWF",SUMIF('Exch. rate'!A:A,'Expenses report'!C244,'Exch. rate'!B:B),IF(E244="EUR",1,""))</f>
        <v/>
      </c>
      <c r="G244" s="14" t="str">
        <f t="shared" si="5"/>
        <v/>
      </c>
      <c r="H244" s="10"/>
      <c r="I244" s="10"/>
      <c r="J244" s="9"/>
      <c r="K244" s="9"/>
      <c r="L244" s="9"/>
      <c r="M244" s="2" t="str">
        <f t="shared" si="4"/>
        <v/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9"/>
      <c r="B245" s="10"/>
      <c r="C245" s="9"/>
      <c r="D245" s="9"/>
      <c r="E245" s="10"/>
      <c r="F245" s="13" t="str">
        <f>IF(E245="RWF",SUMIF('Exch. rate'!A:A,'Expenses report'!C245,'Exch. rate'!B:B),IF(E245="EUR",1,""))</f>
        <v/>
      </c>
      <c r="G245" s="14" t="str">
        <f t="shared" si="5"/>
        <v/>
      </c>
      <c r="H245" s="10"/>
      <c r="I245" s="10"/>
      <c r="J245" s="9"/>
      <c r="K245" s="9"/>
      <c r="L245" s="9"/>
      <c r="M245" s="2" t="str">
        <f t="shared" si="4"/>
        <v/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9"/>
      <c r="B246" s="10"/>
      <c r="C246" s="9"/>
      <c r="D246" s="9"/>
      <c r="E246" s="10"/>
      <c r="F246" s="13" t="str">
        <f>IF(E246="RWF",SUMIF('Exch. rate'!A:A,'Expenses report'!C246,'Exch. rate'!B:B),IF(E246="EUR",1,""))</f>
        <v/>
      </c>
      <c r="G246" s="14" t="str">
        <f t="shared" si="5"/>
        <v/>
      </c>
      <c r="H246" s="10"/>
      <c r="I246" s="10"/>
      <c r="J246" s="9"/>
      <c r="K246" s="9"/>
      <c r="L246" s="9"/>
      <c r="M246" s="2" t="str">
        <f t="shared" si="4"/>
        <v/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9"/>
      <c r="B247" s="10"/>
      <c r="C247" s="9"/>
      <c r="D247" s="9"/>
      <c r="E247" s="10"/>
      <c r="F247" s="13" t="str">
        <f>IF(E247="RWF",SUMIF('Exch. rate'!A:A,'Expenses report'!C247,'Exch. rate'!B:B),IF(E247="EUR",1,""))</f>
        <v/>
      </c>
      <c r="G247" s="14" t="str">
        <f t="shared" si="5"/>
        <v/>
      </c>
      <c r="H247" s="10"/>
      <c r="I247" s="10"/>
      <c r="J247" s="9"/>
      <c r="K247" s="9"/>
      <c r="L247" s="9"/>
      <c r="M247" s="2" t="str">
        <f t="shared" si="4"/>
        <v/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9"/>
      <c r="B248" s="10"/>
      <c r="C248" s="9"/>
      <c r="D248" s="9"/>
      <c r="E248" s="10"/>
      <c r="F248" s="13" t="str">
        <f>IF(E248="RWF",SUMIF('Exch. rate'!A:A,'Expenses report'!C248,'Exch. rate'!B:B),IF(E248="EUR",1,""))</f>
        <v/>
      </c>
      <c r="G248" s="14" t="str">
        <f t="shared" si="5"/>
        <v/>
      </c>
      <c r="H248" s="10"/>
      <c r="I248" s="10"/>
      <c r="J248" s="9"/>
      <c r="K248" s="9"/>
      <c r="L248" s="9"/>
      <c r="M248" s="2" t="str">
        <f t="shared" si="4"/>
        <v/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9"/>
      <c r="B249" s="10"/>
      <c r="C249" s="9"/>
      <c r="D249" s="9"/>
      <c r="E249" s="10"/>
      <c r="F249" s="13" t="str">
        <f>IF(E249="RWF",SUMIF('Exch. rate'!A:A,'Expenses report'!C249,'Exch. rate'!B:B),IF(E249="EUR",1,""))</f>
        <v/>
      </c>
      <c r="G249" s="14" t="str">
        <f t="shared" si="5"/>
        <v/>
      </c>
      <c r="H249" s="10"/>
      <c r="I249" s="10"/>
      <c r="J249" s="9"/>
      <c r="K249" s="9"/>
      <c r="L249" s="9"/>
      <c r="M249" s="2" t="str">
        <f t="shared" si="4"/>
        <v/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9"/>
      <c r="B250" s="10"/>
      <c r="C250" s="9"/>
      <c r="D250" s="9"/>
      <c r="E250" s="10"/>
      <c r="F250" s="13" t="str">
        <f>IF(E250="RWF",SUMIF('Exch. rate'!A:A,'Expenses report'!C250,'Exch. rate'!B:B),IF(E250="EUR",1,""))</f>
        <v/>
      </c>
      <c r="G250" s="14" t="str">
        <f t="shared" si="5"/>
        <v/>
      </c>
      <c r="H250" s="10"/>
      <c r="I250" s="10"/>
      <c r="J250" s="9"/>
      <c r="K250" s="9"/>
      <c r="L250" s="9"/>
      <c r="M250" s="2" t="str">
        <f t="shared" si="4"/>
        <v/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9"/>
      <c r="B251" s="10"/>
      <c r="C251" s="9"/>
      <c r="D251" s="9"/>
      <c r="E251" s="10"/>
      <c r="F251" s="13" t="str">
        <f>IF(E251="RWF",SUMIF('Exch. rate'!A:A,'Expenses report'!C251,'Exch. rate'!B:B),IF(E251="EUR",1,""))</f>
        <v/>
      </c>
      <c r="G251" s="14" t="str">
        <f t="shared" si="5"/>
        <v/>
      </c>
      <c r="H251" s="10"/>
      <c r="I251" s="10"/>
      <c r="J251" s="9"/>
      <c r="K251" s="9"/>
      <c r="L251" s="9"/>
      <c r="M251" s="2" t="str">
        <f t="shared" si="4"/>
        <v/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9"/>
      <c r="B252" s="10"/>
      <c r="C252" s="9"/>
      <c r="D252" s="9"/>
      <c r="E252" s="10"/>
      <c r="F252" s="13" t="str">
        <f>IF(E252="RWF",SUMIF('Exch. rate'!A:A,'Expenses report'!C252,'Exch. rate'!B:B),IF(E252="EUR",1,""))</f>
        <v/>
      </c>
      <c r="G252" s="14" t="str">
        <f t="shared" si="5"/>
        <v/>
      </c>
      <c r="H252" s="10"/>
      <c r="I252" s="10"/>
      <c r="J252" s="9"/>
      <c r="K252" s="9"/>
      <c r="L252" s="9"/>
      <c r="M252" s="2" t="str">
        <f t="shared" si="4"/>
        <v/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9"/>
      <c r="B253" s="10"/>
      <c r="C253" s="9"/>
      <c r="D253" s="9"/>
      <c r="E253" s="10"/>
      <c r="F253" s="13" t="str">
        <f>IF(E253="RWF",SUMIF('Exch. rate'!A:A,'Expenses report'!C253,'Exch. rate'!B:B),IF(E253="EUR",1,""))</f>
        <v/>
      </c>
      <c r="G253" s="14" t="str">
        <f t="shared" si="5"/>
        <v/>
      </c>
      <c r="H253" s="10"/>
      <c r="I253" s="10"/>
      <c r="J253" s="9"/>
      <c r="K253" s="9"/>
      <c r="L253" s="9"/>
      <c r="M253" s="2" t="str">
        <f t="shared" si="4"/>
        <v/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9"/>
      <c r="B254" s="10"/>
      <c r="C254" s="9"/>
      <c r="D254" s="9"/>
      <c r="E254" s="10"/>
      <c r="F254" s="13" t="str">
        <f>IF(E254="RWF",SUMIF('Exch. rate'!A:A,'Expenses report'!C254,'Exch. rate'!B:B),IF(E254="EUR",1,""))</f>
        <v/>
      </c>
      <c r="G254" s="14" t="str">
        <f t="shared" si="5"/>
        <v/>
      </c>
      <c r="H254" s="10"/>
      <c r="I254" s="10"/>
      <c r="J254" s="9"/>
      <c r="K254" s="9"/>
      <c r="L254" s="9"/>
      <c r="M254" s="2" t="str">
        <f t="shared" si="4"/>
        <v/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9"/>
      <c r="B255" s="10"/>
      <c r="C255" s="9"/>
      <c r="D255" s="9"/>
      <c r="E255" s="10"/>
      <c r="F255" s="13" t="str">
        <f>IF(E255="RWF",SUMIF('Exch. rate'!A:A,'Expenses report'!C255,'Exch. rate'!B:B),IF(E255="EUR",1,""))</f>
        <v/>
      </c>
      <c r="G255" s="14" t="str">
        <f t="shared" si="5"/>
        <v/>
      </c>
      <c r="H255" s="10"/>
      <c r="I255" s="10"/>
      <c r="J255" s="9"/>
      <c r="K255" s="9"/>
      <c r="L255" s="9"/>
      <c r="M255" s="2" t="str">
        <f t="shared" si="4"/>
        <v/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9"/>
      <c r="B256" s="10"/>
      <c r="C256" s="9"/>
      <c r="D256" s="9"/>
      <c r="E256" s="10"/>
      <c r="F256" s="13" t="str">
        <f>IF(E256="RWF",SUMIF('Exch. rate'!A:A,'Expenses report'!C256,'Exch. rate'!B:B),IF(E256="EUR",1,""))</f>
        <v/>
      </c>
      <c r="G256" s="14" t="str">
        <f t="shared" si="5"/>
        <v/>
      </c>
      <c r="H256" s="10"/>
      <c r="I256" s="10"/>
      <c r="J256" s="9"/>
      <c r="K256" s="9"/>
      <c r="L256" s="9"/>
      <c r="M256" s="2" t="str">
        <f t="shared" si="4"/>
        <v/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9"/>
      <c r="B257" s="10"/>
      <c r="C257" s="9"/>
      <c r="D257" s="9"/>
      <c r="E257" s="10"/>
      <c r="F257" s="13" t="str">
        <f>IF(E257="RWF",SUMIF('Exch. rate'!A:A,'Expenses report'!C257,'Exch. rate'!B:B),IF(E257="EUR",1,""))</f>
        <v/>
      </c>
      <c r="G257" s="14" t="str">
        <f t="shared" si="5"/>
        <v/>
      </c>
      <c r="H257" s="10"/>
      <c r="I257" s="10"/>
      <c r="J257" s="9"/>
      <c r="K257" s="9"/>
      <c r="L257" s="9"/>
      <c r="M257" s="2" t="str">
        <f t="shared" si="4"/>
        <v/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9"/>
      <c r="B258" s="10"/>
      <c r="C258" s="9"/>
      <c r="D258" s="9"/>
      <c r="E258" s="10"/>
      <c r="F258" s="13" t="str">
        <f>IF(E258="RWF",SUMIF('Exch. rate'!A:A,'Expenses report'!C258,'Exch. rate'!B:B),IF(E258="EUR",1,""))</f>
        <v/>
      </c>
      <c r="G258" s="14" t="str">
        <f t="shared" si="5"/>
        <v/>
      </c>
      <c r="H258" s="10"/>
      <c r="I258" s="10"/>
      <c r="J258" s="9"/>
      <c r="K258" s="9"/>
      <c r="L258" s="9"/>
      <c r="M258" s="2" t="str">
        <f t="shared" si="4"/>
        <v/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9"/>
      <c r="B259" s="10"/>
      <c r="C259" s="9"/>
      <c r="D259" s="9"/>
      <c r="E259" s="10"/>
      <c r="F259" s="13" t="str">
        <f>IF(E259="RWF",SUMIF('Exch. rate'!A:A,'Expenses report'!C259,'Exch. rate'!B:B),IF(E259="EUR",1,""))</f>
        <v/>
      </c>
      <c r="G259" s="14" t="str">
        <f t="shared" si="5"/>
        <v/>
      </c>
      <c r="H259" s="10"/>
      <c r="I259" s="10"/>
      <c r="J259" s="9"/>
      <c r="K259" s="9"/>
      <c r="L259" s="9"/>
      <c r="M259" s="2" t="str">
        <f t="shared" si="4"/>
        <v/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9"/>
      <c r="B260" s="10"/>
      <c r="C260" s="9"/>
      <c r="D260" s="9"/>
      <c r="E260" s="10"/>
      <c r="F260" s="13" t="str">
        <f>IF(E260="RWF",SUMIF('Exch. rate'!A:A,'Expenses report'!C260,'Exch. rate'!B:B),IF(E260="EUR",1,""))</f>
        <v/>
      </c>
      <c r="G260" s="14" t="str">
        <f t="shared" si="5"/>
        <v/>
      </c>
      <c r="H260" s="10"/>
      <c r="I260" s="10"/>
      <c r="J260" s="9"/>
      <c r="K260" s="9"/>
      <c r="L260" s="9"/>
      <c r="M260" s="2" t="str">
        <f t="shared" si="4"/>
        <v/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9"/>
      <c r="B261" s="10"/>
      <c r="C261" s="9"/>
      <c r="D261" s="9"/>
      <c r="E261" s="10"/>
      <c r="F261" s="13" t="str">
        <f>IF(E261="RWF",SUMIF('Exch. rate'!A:A,'Expenses report'!C261,'Exch. rate'!B:B),IF(E261="EUR",1,""))</f>
        <v/>
      </c>
      <c r="G261" s="14" t="str">
        <f t="shared" si="5"/>
        <v/>
      </c>
      <c r="H261" s="10"/>
      <c r="I261" s="10"/>
      <c r="J261" s="9"/>
      <c r="K261" s="9"/>
      <c r="L261" s="9"/>
      <c r="M261" s="2" t="str">
        <f t="shared" si="4"/>
        <v/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9"/>
      <c r="B262" s="10"/>
      <c r="C262" s="9"/>
      <c r="D262" s="9"/>
      <c r="E262" s="10"/>
      <c r="F262" s="13" t="str">
        <f>IF(E262="RWF",SUMIF('Exch. rate'!A:A,'Expenses report'!C262,'Exch. rate'!B:B),IF(E262="EUR",1,""))</f>
        <v/>
      </c>
      <c r="G262" s="14" t="str">
        <f t="shared" si="5"/>
        <v/>
      </c>
      <c r="H262" s="10"/>
      <c r="I262" s="10"/>
      <c r="J262" s="9"/>
      <c r="K262" s="9"/>
      <c r="L262" s="9"/>
      <c r="M262" s="2" t="str">
        <f t="shared" si="4"/>
        <v/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9"/>
      <c r="B263" s="10"/>
      <c r="C263" s="9"/>
      <c r="D263" s="9"/>
      <c r="E263" s="10"/>
      <c r="F263" s="13" t="str">
        <f>IF(E263="RWF",SUMIF('Exch. rate'!A:A,'Expenses report'!C263,'Exch. rate'!B:B),IF(E263="EUR",1,""))</f>
        <v/>
      </c>
      <c r="G263" s="14" t="str">
        <f t="shared" si="5"/>
        <v/>
      </c>
      <c r="H263" s="10"/>
      <c r="I263" s="10"/>
      <c r="J263" s="9"/>
      <c r="K263" s="9"/>
      <c r="L263" s="9"/>
      <c r="M263" s="2" t="str">
        <f t="shared" si="4"/>
        <v/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9"/>
      <c r="B264" s="10"/>
      <c r="C264" s="9"/>
      <c r="D264" s="9"/>
      <c r="E264" s="10"/>
      <c r="F264" s="13" t="str">
        <f>IF(E264="RWF",SUMIF('Exch. rate'!A:A,'Expenses report'!C264,'Exch. rate'!B:B),IF(E264="EUR",1,""))</f>
        <v/>
      </c>
      <c r="G264" s="14" t="str">
        <f t="shared" si="5"/>
        <v/>
      </c>
      <c r="H264" s="10"/>
      <c r="I264" s="10"/>
      <c r="J264" s="9"/>
      <c r="K264" s="9"/>
      <c r="L264" s="9"/>
      <c r="M264" s="2" t="str">
        <f t="shared" si="4"/>
        <v/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9"/>
      <c r="B265" s="10"/>
      <c r="C265" s="9"/>
      <c r="D265" s="9"/>
      <c r="E265" s="10"/>
      <c r="F265" s="13" t="str">
        <f>IF(E265="RWF",SUMIF('Exch. rate'!A:A,'Expenses report'!C265,'Exch. rate'!B:B),IF(E265="EUR",1,""))</f>
        <v/>
      </c>
      <c r="G265" s="14" t="str">
        <f t="shared" si="5"/>
        <v/>
      </c>
      <c r="H265" s="10"/>
      <c r="I265" s="10"/>
      <c r="J265" s="9"/>
      <c r="K265" s="9"/>
      <c r="L265" s="9"/>
      <c r="M265" s="2" t="str">
        <f t="shared" si="4"/>
        <v/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9"/>
      <c r="B266" s="10"/>
      <c r="C266" s="9"/>
      <c r="D266" s="9"/>
      <c r="E266" s="10"/>
      <c r="F266" s="13" t="str">
        <f>IF(E266="RWF",SUMIF('Exch. rate'!A:A,'Expenses report'!C266,'Exch. rate'!B:B),IF(E266="EUR",1,""))</f>
        <v/>
      </c>
      <c r="G266" s="14" t="str">
        <f t="shared" si="5"/>
        <v/>
      </c>
      <c r="H266" s="10"/>
      <c r="I266" s="10"/>
      <c r="J266" s="9"/>
      <c r="K266" s="9"/>
      <c r="L266" s="9"/>
      <c r="M266" s="2" t="str">
        <f t="shared" si="4"/>
        <v/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9"/>
      <c r="B267" s="10"/>
      <c r="C267" s="9"/>
      <c r="D267" s="9"/>
      <c r="E267" s="10"/>
      <c r="F267" s="13" t="str">
        <f>IF(E267="RWF",SUMIF('Exch. rate'!A:A,'Expenses report'!C267,'Exch. rate'!B:B),IF(E267="EUR",1,""))</f>
        <v/>
      </c>
      <c r="G267" s="14" t="str">
        <f t="shared" si="5"/>
        <v/>
      </c>
      <c r="H267" s="10"/>
      <c r="I267" s="10"/>
      <c r="J267" s="9"/>
      <c r="K267" s="9"/>
      <c r="L267" s="9"/>
      <c r="M267" s="2" t="str">
        <f t="shared" si="4"/>
        <v/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9"/>
      <c r="B268" s="10"/>
      <c r="C268" s="9"/>
      <c r="D268" s="9"/>
      <c r="E268" s="10"/>
      <c r="F268" s="13" t="str">
        <f>IF(E268="RWF",SUMIF('Exch. rate'!A:A,'Expenses report'!C268,'Exch. rate'!B:B),IF(E268="EUR",1,""))</f>
        <v/>
      </c>
      <c r="G268" s="14" t="str">
        <f t="shared" si="5"/>
        <v/>
      </c>
      <c r="H268" s="10"/>
      <c r="I268" s="10"/>
      <c r="J268" s="9"/>
      <c r="K268" s="9"/>
      <c r="L268" s="9"/>
      <c r="M268" s="2" t="str">
        <f t="shared" si="4"/>
        <v/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9"/>
      <c r="B269" s="10"/>
      <c r="C269" s="9"/>
      <c r="D269" s="9"/>
      <c r="E269" s="10"/>
      <c r="F269" s="13" t="str">
        <f>IF(E269="RWF",SUMIF('Exch. rate'!A:A,'Expenses report'!C269,'Exch. rate'!B:B),IF(E269="EUR",1,""))</f>
        <v/>
      </c>
      <c r="G269" s="14" t="str">
        <f t="shared" si="5"/>
        <v/>
      </c>
      <c r="H269" s="10"/>
      <c r="I269" s="10"/>
      <c r="J269" s="9"/>
      <c r="K269" s="9"/>
      <c r="L269" s="9"/>
      <c r="M269" s="2" t="str">
        <f t="shared" si="4"/>
        <v/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9"/>
      <c r="B270" s="10"/>
      <c r="C270" s="9"/>
      <c r="D270" s="9"/>
      <c r="E270" s="10"/>
      <c r="F270" s="13" t="str">
        <f>IF(E270="RWF",SUMIF('Exch. rate'!A:A,'Expenses report'!C270,'Exch. rate'!B:B),IF(E270="EUR",1,""))</f>
        <v/>
      </c>
      <c r="G270" s="14" t="str">
        <f t="shared" si="5"/>
        <v/>
      </c>
      <c r="H270" s="10"/>
      <c r="I270" s="10"/>
      <c r="J270" s="9"/>
      <c r="K270" s="9"/>
      <c r="L270" s="9"/>
      <c r="M270" s="2" t="str">
        <f t="shared" si="4"/>
        <v/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9"/>
      <c r="B271" s="10"/>
      <c r="C271" s="9"/>
      <c r="D271" s="9"/>
      <c r="E271" s="10"/>
      <c r="F271" s="13" t="str">
        <f>IF(E271="RWF",SUMIF('Exch. rate'!A:A,'Expenses report'!C271,'Exch. rate'!B:B),IF(E271="EUR",1,""))</f>
        <v/>
      </c>
      <c r="G271" s="14" t="str">
        <f t="shared" si="5"/>
        <v/>
      </c>
      <c r="H271" s="10"/>
      <c r="I271" s="10"/>
      <c r="J271" s="9"/>
      <c r="K271" s="9"/>
      <c r="L271" s="9"/>
      <c r="M271" s="2" t="str">
        <f t="shared" si="4"/>
        <v/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9"/>
      <c r="B272" s="10"/>
      <c r="C272" s="9"/>
      <c r="D272" s="9"/>
      <c r="E272" s="10"/>
      <c r="F272" s="13" t="str">
        <f>IF(E272="RWF",SUMIF('Exch. rate'!A:A,'Expenses report'!C272,'Exch. rate'!B:B),IF(E272="EUR",1,""))</f>
        <v/>
      </c>
      <c r="G272" s="14" t="str">
        <f t="shared" si="5"/>
        <v/>
      </c>
      <c r="H272" s="10"/>
      <c r="I272" s="10"/>
      <c r="J272" s="9"/>
      <c r="K272" s="9"/>
      <c r="L272" s="9"/>
      <c r="M272" s="2" t="str">
        <f t="shared" si="4"/>
        <v/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9"/>
      <c r="B273" s="10"/>
      <c r="C273" s="9"/>
      <c r="D273" s="9"/>
      <c r="E273" s="10"/>
      <c r="F273" s="13" t="str">
        <f>IF(E273="RWF",SUMIF('Exch. rate'!A:A,'Expenses report'!C273,'Exch. rate'!B:B),IF(E273="EUR",1,""))</f>
        <v/>
      </c>
      <c r="G273" s="14" t="str">
        <f t="shared" si="5"/>
        <v/>
      </c>
      <c r="H273" s="10"/>
      <c r="I273" s="10"/>
      <c r="J273" s="9"/>
      <c r="K273" s="9"/>
      <c r="L273" s="9"/>
      <c r="M273" s="2" t="str">
        <f t="shared" si="4"/>
        <v/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9"/>
      <c r="B274" s="10"/>
      <c r="C274" s="9"/>
      <c r="D274" s="9"/>
      <c r="E274" s="10"/>
      <c r="F274" s="13" t="str">
        <f>IF(E274="RWF",SUMIF('Exch. rate'!A:A,'Expenses report'!C274,'Exch. rate'!B:B),IF(E274="EUR",1,""))</f>
        <v/>
      </c>
      <c r="G274" s="14" t="str">
        <f t="shared" si="5"/>
        <v/>
      </c>
      <c r="H274" s="10"/>
      <c r="I274" s="10"/>
      <c r="J274" s="9"/>
      <c r="K274" s="9"/>
      <c r="L274" s="9"/>
      <c r="M274" s="2" t="str">
        <f t="shared" si="4"/>
        <v/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9"/>
      <c r="B275" s="10"/>
      <c r="C275" s="9"/>
      <c r="D275" s="9"/>
      <c r="E275" s="10"/>
      <c r="F275" s="13" t="str">
        <f>IF(E275="RWF",SUMIF('Exch. rate'!A:A,'Expenses report'!C275,'Exch. rate'!B:B),IF(E275="EUR",1,""))</f>
        <v/>
      </c>
      <c r="G275" s="14" t="str">
        <f t="shared" si="5"/>
        <v/>
      </c>
      <c r="H275" s="10"/>
      <c r="I275" s="10"/>
      <c r="J275" s="9"/>
      <c r="K275" s="9"/>
      <c r="L275" s="9"/>
      <c r="M275" s="2" t="str">
        <f t="shared" si="4"/>
        <v/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9"/>
      <c r="B276" s="10"/>
      <c r="C276" s="9"/>
      <c r="D276" s="9"/>
      <c r="E276" s="10"/>
      <c r="F276" s="13" t="str">
        <f>IF(E276="RWF",SUMIF('Exch. rate'!A:A,'Expenses report'!C276,'Exch. rate'!B:B),IF(E276="EUR",1,""))</f>
        <v/>
      </c>
      <c r="G276" s="14" t="str">
        <f t="shared" si="5"/>
        <v/>
      </c>
      <c r="H276" s="10"/>
      <c r="I276" s="10"/>
      <c r="J276" s="9"/>
      <c r="K276" s="9"/>
      <c r="L276" s="9"/>
      <c r="M276" s="2" t="str">
        <f t="shared" si="4"/>
        <v/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9"/>
      <c r="B277" s="10"/>
      <c r="C277" s="9"/>
      <c r="D277" s="9"/>
      <c r="E277" s="10"/>
      <c r="F277" s="13" t="str">
        <f>IF(E277="RWF",SUMIF('Exch. rate'!A:A,'Expenses report'!C277,'Exch. rate'!B:B),IF(E277="EUR",1,""))</f>
        <v/>
      </c>
      <c r="G277" s="14" t="str">
        <f t="shared" si="5"/>
        <v/>
      </c>
      <c r="H277" s="10"/>
      <c r="I277" s="10"/>
      <c r="J277" s="9"/>
      <c r="K277" s="9"/>
      <c r="L277" s="9"/>
      <c r="M277" s="2" t="str">
        <f t="shared" si="4"/>
        <v/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9"/>
      <c r="B278" s="10"/>
      <c r="C278" s="9"/>
      <c r="D278" s="9"/>
      <c r="E278" s="10"/>
      <c r="F278" s="13" t="str">
        <f>IF(E278="RWF",SUMIF('Exch. rate'!A:A,'Expenses report'!C278,'Exch. rate'!B:B),IF(E278="EUR",1,""))</f>
        <v/>
      </c>
      <c r="G278" s="14" t="str">
        <f t="shared" si="5"/>
        <v/>
      </c>
      <c r="H278" s="10"/>
      <c r="I278" s="10"/>
      <c r="J278" s="9"/>
      <c r="K278" s="9"/>
      <c r="L278" s="9"/>
      <c r="M278" s="2" t="str">
        <f t="shared" si="4"/>
        <v/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9"/>
      <c r="B279" s="10"/>
      <c r="C279" s="9"/>
      <c r="D279" s="9"/>
      <c r="E279" s="10"/>
      <c r="F279" s="13" t="str">
        <f>IF(E279="RWF",SUMIF('Exch. rate'!A:A,'Expenses report'!C279,'Exch. rate'!B:B),IF(E279="EUR",1,""))</f>
        <v/>
      </c>
      <c r="G279" s="14" t="str">
        <f t="shared" si="5"/>
        <v/>
      </c>
      <c r="H279" s="10"/>
      <c r="I279" s="10"/>
      <c r="J279" s="9"/>
      <c r="K279" s="9"/>
      <c r="L279" s="9"/>
      <c r="M279" s="2" t="str">
        <f t="shared" si="4"/>
        <v/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9"/>
      <c r="B280" s="10"/>
      <c r="C280" s="9"/>
      <c r="D280" s="9"/>
      <c r="E280" s="10"/>
      <c r="F280" s="13" t="str">
        <f>IF(E280="RWF",SUMIF('Exch. rate'!A:A,'Expenses report'!C280,'Exch. rate'!B:B),IF(E280="EUR",1,""))</f>
        <v/>
      </c>
      <c r="G280" s="14" t="str">
        <f t="shared" si="5"/>
        <v/>
      </c>
      <c r="H280" s="10"/>
      <c r="I280" s="10"/>
      <c r="J280" s="9"/>
      <c r="K280" s="9"/>
      <c r="L280" s="9"/>
      <c r="M280" s="2" t="str">
        <f t="shared" si="4"/>
        <v/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9"/>
      <c r="B281" s="10"/>
      <c r="C281" s="9"/>
      <c r="D281" s="9"/>
      <c r="E281" s="10"/>
      <c r="F281" s="13" t="str">
        <f>IF(E281="RWF",SUMIF('Exch. rate'!A:A,'Expenses report'!C281,'Exch. rate'!B:B),IF(E281="EUR",1,""))</f>
        <v/>
      </c>
      <c r="G281" s="14" t="str">
        <f t="shared" si="5"/>
        <v/>
      </c>
      <c r="H281" s="10"/>
      <c r="I281" s="10"/>
      <c r="J281" s="9"/>
      <c r="K281" s="9"/>
      <c r="L281" s="9"/>
      <c r="M281" s="2" t="str">
        <f t="shared" si="4"/>
        <v/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9"/>
      <c r="B282" s="10"/>
      <c r="C282" s="9"/>
      <c r="D282" s="9"/>
      <c r="E282" s="10"/>
      <c r="F282" s="13" t="str">
        <f>IF(E282="RWF",SUMIF('Exch. rate'!A:A,'Expenses report'!C282,'Exch. rate'!B:B),IF(E282="EUR",1,""))</f>
        <v/>
      </c>
      <c r="G282" s="14" t="str">
        <f t="shared" si="5"/>
        <v/>
      </c>
      <c r="H282" s="10"/>
      <c r="I282" s="10"/>
      <c r="J282" s="9"/>
      <c r="K282" s="9"/>
      <c r="L282" s="9"/>
      <c r="M282" s="2" t="str">
        <f t="shared" si="4"/>
        <v/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9"/>
      <c r="B283" s="10"/>
      <c r="C283" s="9"/>
      <c r="D283" s="9"/>
      <c r="E283" s="10"/>
      <c r="F283" s="13" t="str">
        <f>IF(E283="RWF",SUMIF('Exch. rate'!A:A,'Expenses report'!C283,'Exch. rate'!B:B),IF(E283="EUR",1,""))</f>
        <v/>
      </c>
      <c r="G283" s="14" t="str">
        <f t="shared" si="5"/>
        <v/>
      </c>
      <c r="H283" s="10"/>
      <c r="I283" s="10"/>
      <c r="J283" s="9"/>
      <c r="K283" s="9"/>
      <c r="L283" s="9"/>
      <c r="M283" s="2" t="str">
        <f t="shared" si="4"/>
        <v/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9"/>
      <c r="B284" s="10"/>
      <c r="C284" s="9"/>
      <c r="D284" s="9"/>
      <c r="E284" s="10"/>
      <c r="F284" s="13" t="str">
        <f>IF(E284="RWF",SUMIF('Exch. rate'!A:A,'Expenses report'!C284,'Exch. rate'!B:B),IF(E284="EUR",1,""))</f>
        <v/>
      </c>
      <c r="G284" s="14" t="str">
        <f t="shared" si="5"/>
        <v/>
      </c>
      <c r="H284" s="10"/>
      <c r="I284" s="10"/>
      <c r="J284" s="9"/>
      <c r="K284" s="9"/>
      <c r="L284" s="9"/>
      <c r="M284" s="2" t="str">
        <f t="shared" si="4"/>
        <v/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9"/>
      <c r="B285" s="10"/>
      <c r="C285" s="9"/>
      <c r="D285" s="9"/>
      <c r="E285" s="10"/>
      <c r="F285" s="13" t="str">
        <f>IF(E285="RWF",SUMIF('Exch. rate'!A:A,'Expenses report'!C285,'Exch. rate'!B:B),IF(E285="EUR",1,""))</f>
        <v/>
      </c>
      <c r="G285" s="14" t="str">
        <f t="shared" si="5"/>
        <v/>
      </c>
      <c r="H285" s="10"/>
      <c r="I285" s="10"/>
      <c r="J285" s="9"/>
      <c r="K285" s="9"/>
      <c r="L285" s="9"/>
      <c r="M285" s="2" t="str">
        <f t="shared" si="4"/>
        <v/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9"/>
      <c r="B286" s="10"/>
      <c r="C286" s="9"/>
      <c r="D286" s="9"/>
      <c r="E286" s="10"/>
      <c r="F286" s="13" t="str">
        <f>IF(E286="RWF",SUMIF('Exch. rate'!A:A,'Expenses report'!C286,'Exch. rate'!B:B),IF(E286="EUR",1,""))</f>
        <v/>
      </c>
      <c r="G286" s="14" t="str">
        <f t="shared" si="5"/>
        <v/>
      </c>
      <c r="H286" s="10"/>
      <c r="I286" s="10"/>
      <c r="J286" s="9"/>
      <c r="K286" s="9"/>
      <c r="L286" s="9"/>
      <c r="M286" s="2" t="str">
        <f t="shared" si="4"/>
        <v/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9"/>
      <c r="B287" s="10"/>
      <c r="C287" s="9"/>
      <c r="D287" s="9"/>
      <c r="E287" s="10"/>
      <c r="F287" s="13" t="str">
        <f>IF(E287="RWF",SUMIF('Exch. rate'!A:A,'Expenses report'!C287,'Exch. rate'!B:B),IF(E287="EUR",1,""))</f>
        <v/>
      </c>
      <c r="G287" s="14" t="str">
        <f t="shared" si="5"/>
        <v/>
      </c>
      <c r="H287" s="10"/>
      <c r="I287" s="10"/>
      <c r="J287" s="9"/>
      <c r="K287" s="9"/>
      <c r="L287" s="9"/>
      <c r="M287" s="2" t="str">
        <f t="shared" si="4"/>
        <v/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9"/>
      <c r="B288" s="10"/>
      <c r="C288" s="9"/>
      <c r="D288" s="9"/>
      <c r="E288" s="10"/>
      <c r="F288" s="13" t="str">
        <f>IF(E288="RWF",SUMIF('Exch. rate'!A:A,'Expenses report'!C288,'Exch. rate'!B:B),IF(E288="EUR",1,""))</f>
        <v/>
      </c>
      <c r="G288" s="14" t="str">
        <f t="shared" si="5"/>
        <v/>
      </c>
      <c r="H288" s="10"/>
      <c r="I288" s="10"/>
      <c r="J288" s="9"/>
      <c r="K288" s="9"/>
      <c r="L288" s="9"/>
      <c r="M288" s="2" t="str">
        <f t="shared" si="4"/>
        <v/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9"/>
      <c r="B289" s="10"/>
      <c r="C289" s="9"/>
      <c r="D289" s="9"/>
      <c r="E289" s="10"/>
      <c r="F289" s="13" t="str">
        <f>IF(E289="RWF",SUMIF('Exch. rate'!A:A,'Expenses report'!C289,'Exch. rate'!B:B),IF(E289="EUR",1,""))</f>
        <v/>
      </c>
      <c r="G289" s="14" t="str">
        <f t="shared" si="5"/>
        <v/>
      </c>
      <c r="H289" s="10"/>
      <c r="I289" s="10"/>
      <c r="J289" s="9"/>
      <c r="K289" s="9"/>
      <c r="L289" s="9"/>
      <c r="M289" s="2" t="str">
        <f t="shared" si="4"/>
        <v/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9"/>
      <c r="B290" s="10"/>
      <c r="C290" s="9"/>
      <c r="D290" s="9"/>
      <c r="E290" s="10"/>
      <c r="F290" s="13" t="str">
        <f>IF(E290="RWF",SUMIF('Exch. rate'!A:A,'Expenses report'!C290,'Exch. rate'!B:B),IF(E290="EUR",1,""))</f>
        <v/>
      </c>
      <c r="G290" s="14" t="str">
        <f t="shared" si="5"/>
        <v/>
      </c>
      <c r="H290" s="10"/>
      <c r="I290" s="10"/>
      <c r="J290" s="9"/>
      <c r="K290" s="9"/>
      <c r="L290" s="9"/>
      <c r="M290" s="2" t="str">
        <f t="shared" si="4"/>
        <v/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9"/>
      <c r="B291" s="10"/>
      <c r="C291" s="9"/>
      <c r="D291" s="9"/>
      <c r="E291" s="10"/>
      <c r="F291" s="13" t="str">
        <f>IF(E291="RWF",SUMIF('Exch. rate'!A:A,'Expenses report'!C291,'Exch. rate'!B:B),IF(E291="EUR",1,""))</f>
        <v/>
      </c>
      <c r="G291" s="14" t="str">
        <f t="shared" si="5"/>
        <v/>
      </c>
      <c r="H291" s="10"/>
      <c r="I291" s="10"/>
      <c r="J291" s="9"/>
      <c r="K291" s="9"/>
      <c r="L291" s="9"/>
      <c r="M291" s="2" t="str">
        <f t="shared" si="4"/>
        <v/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9"/>
      <c r="B292" s="10"/>
      <c r="C292" s="9"/>
      <c r="D292" s="9"/>
      <c r="E292" s="10"/>
      <c r="F292" s="13" t="str">
        <f>IF(E292="RWF",SUMIF('Exch. rate'!A:A,'Expenses report'!C292,'Exch. rate'!B:B),IF(E292="EUR",1,""))</f>
        <v/>
      </c>
      <c r="G292" s="14" t="str">
        <f t="shared" si="5"/>
        <v/>
      </c>
      <c r="H292" s="10"/>
      <c r="I292" s="10"/>
      <c r="J292" s="9"/>
      <c r="K292" s="9"/>
      <c r="L292" s="9"/>
      <c r="M292" s="2" t="str">
        <f t="shared" si="4"/>
        <v/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9"/>
      <c r="B293" s="10"/>
      <c r="C293" s="9"/>
      <c r="D293" s="9"/>
      <c r="E293" s="10"/>
      <c r="F293" s="13" t="str">
        <f>IF(E293="RWF",SUMIF('Exch. rate'!A:A,'Expenses report'!C293,'Exch. rate'!B:B),IF(E293="EUR",1,""))</f>
        <v/>
      </c>
      <c r="G293" s="14" t="str">
        <f t="shared" si="5"/>
        <v/>
      </c>
      <c r="H293" s="10"/>
      <c r="I293" s="10"/>
      <c r="J293" s="9"/>
      <c r="K293" s="9"/>
      <c r="L293" s="9"/>
      <c r="M293" s="2" t="str">
        <f t="shared" si="4"/>
        <v/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9"/>
      <c r="B294" s="10"/>
      <c r="C294" s="9"/>
      <c r="D294" s="9"/>
      <c r="E294" s="10"/>
      <c r="F294" s="13" t="str">
        <f>IF(E294="RWF",SUMIF('Exch. rate'!A:A,'Expenses report'!C294,'Exch. rate'!B:B),IF(E294="EUR",1,""))</f>
        <v/>
      </c>
      <c r="G294" s="14" t="str">
        <f t="shared" si="5"/>
        <v/>
      </c>
      <c r="H294" s="10"/>
      <c r="I294" s="10"/>
      <c r="J294" s="9"/>
      <c r="K294" s="9"/>
      <c r="L294" s="9"/>
      <c r="M294" s="2" t="str">
        <f t="shared" si="4"/>
        <v/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9"/>
      <c r="B295" s="10"/>
      <c r="C295" s="9"/>
      <c r="D295" s="9"/>
      <c r="E295" s="10"/>
      <c r="F295" s="13" t="str">
        <f>IF(E295="RWF",SUMIF('Exch. rate'!A:A,'Expenses report'!C295,'Exch. rate'!B:B),IF(E295="EUR",1,""))</f>
        <v/>
      </c>
      <c r="G295" s="14" t="str">
        <f t="shared" si="5"/>
        <v/>
      </c>
      <c r="H295" s="10"/>
      <c r="I295" s="10"/>
      <c r="J295" s="9"/>
      <c r="K295" s="9"/>
      <c r="L295" s="9"/>
      <c r="M295" s="2" t="str">
        <f t="shared" si="4"/>
        <v/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9"/>
      <c r="B296" s="10"/>
      <c r="C296" s="9"/>
      <c r="D296" s="9"/>
      <c r="E296" s="10"/>
      <c r="F296" s="13" t="str">
        <f>IF(E296="RWF",SUMIF('Exch. rate'!A:A,'Expenses report'!C296,'Exch. rate'!B:B),IF(E296="EUR",1,""))</f>
        <v/>
      </c>
      <c r="G296" s="14" t="str">
        <f t="shared" si="5"/>
        <v/>
      </c>
      <c r="H296" s="10"/>
      <c r="I296" s="10"/>
      <c r="J296" s="9"/>
      <c r="K296" s="9"/>
      <c r="L296" s="9"/>
      <c r="M296" s="2" t="str">
        <f t="shared" si="4"/>
        <v/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9"/>
      <c r="B297" s="10"/>
      <c r="C297" s="9"/>
      <c r="D297" s="9"/>
      <c r="E297" s="10"/>
      <c r="F297" s="13" t="str">
        <f>IF(E297="RWF",SUMIF('Exch. rate'!A:A,'Expenses report'!C297,'Exch. rate'!B:B),IF(E297="EUR",1,""))</f>
        <v/>
      </c>
      <c r="G297" s="14" t="str">
        <f t="shared" si="5"/>
        <v/>
      </c>
      <c r="H297" s="10"/>
      <c r="I297" s="10"/>
      <c r="J297" s="9"/>
      <c r="K297" s="9"/>
      <c r="L297" s="9"/>
      <c r="M297" s="2" t="str">
        <f t="shared" si="4"/>
        <v/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9"/>
      <c r="B298" s="10"/>
      <c r="C298" s="9"/>
      <c r="D298" s="9"/>
      <c r="E298" s="10"/>
      <c r="F298" s="13" t="str">
        <f>IF(E298="RWF",SUMIF('Exch. rate'!A:A,'Expenses report'!C298,'Exch. rate'!B:B),IF(E298="EUR",1,""))</f>
        <v/>
      </c>
      <c r="G298" s="14" t="str">
        <f t="shared" si="5"/>
        <v/>
      </c>
      <c r="H298" s="10"/>
      <c r="I298" s="10"/>
      <c r="J298" s="9"/>
      <c r="K298" s="9"/>
      <c r="L298" s="9"/>
      <c r="M298" s="2" t="str">
        <f t="shared" si="4"/>
        <v/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9"/>
      <c r="B299" s="10"/>
      <c r="C299" s="9"/>
      <c r="D299" s="9"/>
      <c r="E299" s="10"/>
      <c r="F299" s="13" t="str">
        <f>IF(E299="RWF",SUMIF('Exch. rate'!A:A,'Expenses report'!C299,'Exch. rate'!B:B),IF(E299="EUR",1,""))</f>
        <v/>
      </c>
      <c r="G299" s="14" t="str">
        <f t="shared" si="5"/>
        <v/>
      </c>
      <c r="H299" s="10"/>
      <c r="I299" s="10"/>
      <c r="J299" s="9"/>
      <c r="K299" s="9"/>
      <c r="L299" s="9"/>
      <c r="M299" s="2" t="str">
        <f t="shared" si="4"/>
        <v/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9"/>
      <c r="B300" s="10"/>
      <c r="C300" s="9"/>
      <c r="D300" s="9"/>
      <c r="E300" s="10"/>
      <c r="F300" s="13" t="str">
        <f>IF(E300="RWF",SUMIF('Exch. rate'!A:A,'Expenses report'!C300,'Exch. rate'!B:B),IF(E300="EUR",1,""))</f>
        <v/>
      </c>
      <c r="G300" s="14" t="str">
        <f t="shared" si="5"/>
        <v/>
      </c>
      <c r="H300" s="10"/>
      <c r="I300" s="10"/>
      <c r="J300" s="9"/>
      <c r="K300" s="9"/>
      <c r="L300" s="9"/>
      <c r="M300" s="2" t="str">
        <f t="shared" si="4"/>
        <v/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9"/>
      <c r="B301" s="10"/>
      <c r="C301" s="9"/>
      <c r="D301" s="9"/>
      <c r="E301" s="10"/>
      <c r="F301" s="13" t="str">
        <f>IF(E301="RWF",SUMIF('Exch. rate'!A:A,'Expenses report'!C301,'Exch. rate'!B:B),IF(E301="EUR",1,""))</f>
        <v/>
      </c>
      <c r="G301" s="14" t="str">
        <f t="shared" si="5"/>
        <v/>
      </c>
      <c r="H301" s="10"/>
      <c r="I301" s="10"/>
      <c r="J301" s="9"/>
      <c r="K301" s="9"/>
      <c r="L301" s="9"/>
      <c r="M301" s="2" t="str">
        <f t="shared" si="4"/>
        <v/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9"/>
      <c r="B302" s="10"/>
      <c r="C302" s="9"/>
      <c r="D302" s="9"/>
      <c r="E302" s="10"/>
      <c r="F302" s="13" t="str">
        <f>IF(E302="RWF",SUMIF('Exch. rate'!A:A,'Expenses report'!C302,'Exch. rate'!B:B),IF(E302="EUR",1,""))</f>
        <v/>
      </c>
      <c r="G302" s="14" t="str">
        <f t="shared" si="5"/>
        <v/>
      </c>
      <c r="H302" s="10"/>
      <c r="I302" s="10"/>
      <c r="J302" s="9"/>
      <c r="K302" s="9"/>
      <c r="L302" s="9"/>
      <c r="M302" s="2" t="str">
        <f t="shared" si="4"/>
        <v/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9"/>
      <c r="B303" s="10"/>
      <c r="C303" s="9"/>
      <c r="D303" s="9"/>
      <c r="E303" s="10"/>
      <c r="F303" s="13" t="str">
        <f>IF(E303="RWF",SUMIF('Exch. rate'!A:A,'Expenses report'!C303,'Exch. rate'!B:B),IF(E303="EUR",1,""))</f>
        <v/>
      </c>
      <c r="G303" s="14" t="str">
        <f t="shared" si="5"/>
        <v/>
      </c>
      <c r="H303" s="10"/>
      <c r="I303" s="10"/>
      <c r="J303" s="9"/>
      <c r="K303" s="9"/>
      <c r="L303" s="9"/>
      <c r="M303" s="2" t="str">
        <f t="shared" si="4"/>
        <v/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9"/>
      <c r="B304" s="10"/>
      <c r="C304" s="9"/>
      <c r="D304" s="9"/>
      <c r="E304" s="10"/>
      <c r="F304" s="13" t="str">
        <f>IF(E304="RWF",SUMIF('Exch. rate'!A:A,'Expenses report'!C304,'Exch. rate'!B:B),IF(E304="EUR",1,""))</f>
        <v/>
      </c>
      <c r="G304" s="14" t="str">
        <f t="shared" si="5"/>
        <v/>
      </c>
      <c r="H304" s="10"/>
      <c r="I304" s="10"/>
      <c r="J304" s="9"/>
      <c r="K304" s="9"/>
      <c r="L304" s="9"/>
      <c r="M304" s="2" t="str">
        <f t="shared" si="4"/>
        <v/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9"/>
      <c r="B305" s="10"/>
      <c r="C305" s="9"/>
      <c r="D305" s="9"/>
      <c r="E305" s="10"/>
      <c r="F305" s="13" t="str">
        <f>IF(E305="RWF",SUMIF('Exch. rate'!A:A,'Expenses report'!C305,'Exch. rate'!B:B),IF(E305="EUR",1,""))</f>
        <v/>
      </c>
      <c r="G305" s="14" t="str">
        <f t="shared" si="5"/>
        <v/>
      </c>
      <c r="H305" s="10"/>
      <c r="I305" s="10"/>
      <c r="J305" s="9"/>
      <c r="K305" s="9"/>
      <c r="L305" s="9"/>
      <c r="M305" s="2" t="str">
        <f t="shared" si="4"/>
        <v/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9"/>
      <c r="B306" s="10"/>
      <c r="C306" s="9"/>
      <c r="D306" s="9"/>
      <c r="E306" s="10"/>
      <c r="F306" s="13" t="str">
        <f>IF(E306="RWF",SUMIF('Exch. rate'!A:A,'Expenses report'!C306,'Exch. rate'!B:B),IF(E306="EUR",1,""))</f>
        <v/>
      </c>
      <c r="G306" s="14" t="str">
        <f t="shared" si="5"/>
        <v/>
      </c>
      <c r="H306" s="10"/>
      <c r="I306" s="10"/>
      <c r="J306" s="9"/>
      <c r="K306" s="9"/>
      <c r="L306" s="9"/>
      <c r="M306" s="2" t="str">
        <f t="shared" si="4"/>
        <v/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9"/>
      <c r="B307" s="10"/>
      <c r="C307" s="9"/>
      <c r="D307" s="9"/>
      <c r="E307" s="10"/>
      <c r="F307" s="13" t="str">
        <f>IF(E307="RWF",SUMIF('Exch. rate'!A:A,'Expenses report'!C307,'Exch. rate'!B:B),IF(E307="EUR",1,""))</f>
        <v/>
      </c>
      <c r="G307" s="14" t="str">
        <f t="shared" si="5"/>
        <v/>
      </c>
      <c r="H307" s="10"/>
      <c r="I307" s="10"/>
      <c r="J307" s="9"/>
      <c r="K307" s="9"/>
      <c r="L307" s="9"/>
      <c r="M307" s="2" t="str">
        <f t="shared" si="4"/>
        <v/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9"/>
      <c r="B308" s="10"/>
      <c r="C308" s="9"/>
      <c r="D308" s="9"/>
      <c r="E308" s="10"/>
      <c r="F308" s="13" t="str">
        <f>IF(E308="RWF",SUMIF('Exch. rate'!A:A,'Expenses report'!C308,'Exch. rate'!B:B),IF(E308="EUR",1,""))</f>
        <v/>
      </c>
      <c r="G308" s="14" t="str">
        <f t="shared" si="5"/>
        <v/>
      </c>
      <c r="H308" s="10"/>
      <c r="I308" s="10"/>
      <c r="J308" s="9"/>
      <c r="K308" s="9"/>
      <c r="L308" s="9"/>
      <c r="M308" s="2" t="str">
        <f t="shared" si="4"/>
        <v/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9"/>
      <c r="B309" s="10"/>
      <c r="C309" s="9"/>
      <c r="D309" s="9"/>
      <c r="E309" s="10"/>
      <c r="F309" s="13" t="str">
        <f>IF(E309="RWF",SUMIF('Exch. rate'!A:A,'Expenses report'!C309,'Exch. rate'!B:B),IF(E309="EUR",1,""))</f>
        <v/>
      </c>
      <c r="G309" s="14" t="str">
        <f t="shared" si="5"/>
        <v/>
      </c>
      <c r="H309" s="10"/>
      <c r="I309" s="10"/>
      <c r="J309" s="9"/>
      <c r="K309" s="9"/>
      <c r="L309" s="9"/>
      <c r="M309" s="2" t="str">
        <f t="shared" si="4"/>
        <v/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9"/>
      <c r="B310" s="10"/>
      <c r="C310" s="9"/>
      <c r="D310" s="9"/>
      <c r="E310" s="10"/>
      <c r="F310" s="13" t="str">
        <f>IF(E310="RWF",SUMIF('Exch. rate'!A:A,'Expenses report'!C310,'Exch. rate'!B:B),IF(E310="EUR",1,""))</f>
        <v/>
      </c>
      <c r="G310" s="14" t="str">
        <f t="shared" si="5"/>
        <v/>
      </c>
      <c r="H310" s="10"/>
      <c r="I310" s="10"/>
      <c r="J310" s="9"/>
      <c r="K310" s="9"/>
      <c r="L310" s="9"/>
      <c r="M310" s="2" t="str">
        <f t="shared" si="4"/>
        <v/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9"/>
      <c r="B311" s="10"/>
      <c r="C311" s="9"/>
      <c r="D311" s="9"/>
      <c r="E311" s="10"/>
      <c r="F311" s="13" t="str">
        <f>IF(E311="RWF",SUMIF('Exch. rate'!A:A,'Expenses report'!C311,'Exch. rate'!B:B),IF(E311="EUR",1,""))</f>
        <v/>
      </c>
      <c r="G311" s="14" t="str">
        <f t="shared" si="5"/>
        <v/>
      </c>
      <c r="H311" s="10"/>
      <c r="I311" s="10"/>
      <c r="J311" s="9"/>
      <c r="K311" s="9"/>
      <c r="L311" s="9"/>
      <c r="M311" s="2" t="str">
        <f t="shared" si="4"/>
        <v/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9"/>
      <c r="B312" s="10"/>
      <c r="C312" s="9"/>
      <c r="D312" s="9"/>
      <c r="E312" s="10"/>
      <c r="F312" s="13" t="str">
        <f>IF(E312="RWF",SUMIF('Exch. rate'!A:A,'Expenses report'!C312,'Exch. rate'!B:B),IF(E312="EUR",1,""))</f>
        <v/>
      </c>
      <c r="G312" s="14" t="str">
        <f t="shared" si="5"/>
        <v/>
      </c>
      <c r="H312" s="10"/>
      <c r="I312" s="10"/>
      <c r="J312" s="9"/>
      <c r="K312" s="9"/>
      <c r="L312" s="9"/>
      <c r="M312" s="2" t="str">
        <f t="shared" si="4"/>
        <v/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9"/>
      <c r="B313" s="10"/>
      <c r="C313" s="9"/>
      <c r="D313" s="9"/>
      <c r="E313" s="10"/>
      <c r="F313" s="13" t="str">
        <f>IF(E313="RWF",SUMIF('Exch. rate'!A:A,'Expenses report'!C313,'Exch. rate'!B:B),IF(E313="EUR",1,""))</f>
        <v/>
      </c>
      <c r="G313" s="14" t="str">
        <f t="shared" si="5"/>
        <v/>
      </c>
      <c r="H313" s="10"/>
      <c r="I313" s="10"/>
      <c r="J313" s="9"/>
      <c r="K313" s="9"/>
      <c r="L313" s="9"/>
      <c r="M313" s="2" t="str">
        <f t="shared" si="4"/>
        <v/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9"/>
      <c r="B314" s="10"/>
      <c r="C314" s="9"/>
      <c r="D314" s="9"/>
      <c r="E314" s="10"/>
      <c r="F314" s="13" t="str">
        <f>IF(E314="RWF",SUMIF('Exch. rate'!A:A,'Expenses report'!C314,'Exch. rate'!B:B),IF(E314="EUR",1,""))</f>
        <v/>
      </c>
      <c r="G314" s="14" t="str">
        <f t="shared" si="5"/>
        <v/>
      </c>
      <c r="H314" s="10"/>
      <c r="I314" s="10"/>
      <c r="J314" s="9"/>
      <c r="K314" s="9"/>
      <c r="L314" s="9"/>
      <c r="M314" s="2" t="str">
        <f t="shared" si="4"/>
        <v/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9"/>
      <c r="B315" s="10"/>
      <c r="C315" s="9"/>
      <c r="D315" s="9"/>
      <c r="E315" s="10"/>
      <c r="F315" s="13" t="str">
        <f>IF(E315="RWF",SUMIF('Exch. rate'!A:A,'Expenses report'!C315,'Exch. rate'!B:B),IF(E315="EUR",1,""))</f>
        <v/>
      </c>
      <c r="G315" s="14" t="str">
        <f t="shared" si="5"/>
        <v/>
      </c>
      <c r="H315" s="10"/>
      <c r="I315" s="10"/>
      <c r="J315" s="9"/>
      <c r="K315" s="9"/>
      <c r="L315" s="9"/>
      <c r="M315" s="2" t="str">
        <f t="shared" si="4"/>
        <v/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9"/>
      <c r="B316" s="10"/>
      <c r="C316" s="9"/>
      <c r="D316" s="9"/>
      <c r="E316" s="10"/>
      <c r="F316" s="13" t="str">
        <f>IF(E316="RWF",SUMIF('Exch. rate'!A:A,'Expenses report'!C316,'Exch. rate'!B:B),IF(E316="EUR",1,""))</f>
        <v/>
      </c>
      <c r="G316" s="14" t="str">
        <f t="shared" si="5"/>
        <v/>
      </c>
      <c r="H316" s="10"/>
      <c r="I316" s="10"/>
      <c r="J316" s="9"/>
      <c r="K316" s="9"/>
      <c r="L316" s="9"/>
      <c r="M316" s="2" t="str">
        <f t="shared" si="4"/>
        <v/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9"/>
      <c r="B317" s="10"/>
      <c r="C317" s="9"/>
      <c r="D317" s="9"/>
      <c r="E317" s="10"/>
      <c r="F317" s="13" t="str">
        <f>IF(E317="RWF",SUMIF('Exch. rate'!A:A,'Expenses report'!C317,'Exch. rate'!B:B),IF(E317="EUR",1,""))</f>
        <v/>
      </c>
      <c r="G317" s="14" t="str">
        <f t="shared" si="5"/>
        <v/>
      </c>
      <c r="H317" s="10"/>
      <c r="I317" s="10"/>
      <c r="J317" s="9"/>
      <c r="K317" s="9"/>
      <c r="L317" s="9"/>
      <c r="M317" s="2" t="str">
        <f t="shared" si="4"/>
        <v/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9"/>
      <c r="B318" s="10"/>
      <c r="C318" s="9"/>
      <c r="D318" s="9"/>
      <c r="E318" s="10"/>
      <c r="F318" s="13" t="str">
        <f>IF(E318="RWF",SUMIF('Exch. rate'!A:A,'Expenses report'!C318,'Exch. rate'!B:B),IF(E318="EUR",1,""))</f>
        <v/>
      </c>
      <c r="G318" s="14" t="str">
        <f t="shared" si="5"/>
        <v/>
      </c>
      <c r="H318" s="10"/>
      <c r="I318" s="10"/>
      <c r="J318" s="9"/>
      <c r="K318" s="9"/>
      <c r="L318" s="9"/>
      <c r="M318" s="2" t="str">
        <f t="shared" si="4"/>
        <v/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9"/>
      <c r="B319" s="10"/>
      <c r="C319" s="9"/>
      <c r="D319" s="9"/>
      <c r="E319" s="10"/>
      <c r="F319" s="13" t="str">
        <f>IF(E319="RWF",SUMIF('Exch. rate'!A:A,'Expenses report'!C319,'Exch. rate'!B:B),IF(E319="EUR",1,""))</f>
        <v/>
      </c>
      <c r="G319" s="14" t="str">
        <f t="shared" si="5"/>
        <v/>
      </c>
      <c r="H319" s="10"/>
      <c r="I319" s="10"/>
      <c r="J319" s="9"/>
      <c r="K319" s="9"/>
      <c r="L319" s="9"/>
      <c r="M319" s="2" t="str">
        <f t="shared" si="4"/>
        <v/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9"/>
      <c r="B320" s="10"/>
      <c r="C320" s="9"/>
      <c r="D320" s="9"/>
      <c r="E320" s="10"/>
      <c r="F320" s="13" t="str">
        <f>IF(E320="RWF",SUMIF('Exch. rate'!A:A,'Expenses report'!C320,'Exch. rate'!B:B),IF(E320="EUR",1,""))</f>
        <v/>
      </c>
      <c r="G320" s="14" t="str">
        <f t="shared" si="5"/>
        <v/>
      </c>
      <c r="H320" s="10"/>
      <c r="I320" s="10"/>
      <c r="J320" s="9"/>
      <c r="K320" s="9"/>
      <c r="L320" s="9"/>
      <c r="M320" s="2" t="str">
        <f t="shared" si="4"/>
        <v/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9"/>
      <c r="B321" s="10"/>
      <c r="C321" s="9"/>
      <c r="D321" s="9"/>
      <c r="E321" s="10"/>
      <c r="F321" s="13" t="str">
        <f>IF(E321="RWF",SUMIF('Exch. rate'!A:A,'Expenses report'!C321,'Exch. rate'!B:B),IF(E321="EUR",1,""))</f>
        <v/>
      </c>
      <c r="G321" s="14" t="str">
        <f t="shared" si="5"/>
        <v/>
      </c>
      <c r="H321" s="10"/>
      <c r="I321" s="10"/>
      <c r="J321" s="9"/>
      <c r="K321" s="9"/>
      <c r="L321" s="9"/>
      <c r="M321" s="2" t="str">
        <f t="shared" si="4"/>
        <v/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9"/>
      <c r="B322" s="10"/>
      <c r="C322" s="9"/>
      <c r="D322" s="9"/>
      <c r="E322" s="10"/>
      <c r="F322" s="13" t="str">
        <f>IF(E322="RWF",SUMIF('Exch. rate'!A:A,'Expenses report'!C322,'Exch. rate'!B:B),IF(E322="EUR",1,""))</f>
        <v/>
      </c>
      <c r="G322" s="14" t="str">
        <f t="shared" si="5"/>
        <v/>
      </c>
      <c r="H322" s="10"/>
      <c r="I322" s="10"/>
      <c r="J322" s="9"/>
      <c r="K322" s="9"/>
      <c r="L322" s="9"/>
      <c r="M322" s="2" t="str">
        <f t="shared" si="4"/>
        <v/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9"/>
      <c r="B323" s="10"/>
      <c r="C323" s="9"/>
      <c r="D323" s="9"/>
      <c r="E323" s="10"/>
      <c r="F323" s="13" t="str">
        <f>IF(E323="RWF",SUMIF('Exch. rate'!A:A,'Expenses report'!C323,'Exch. rate'!B:B),IF(E323="EUR",1,""))</f>
        <v/>
      </c>
      <c r="G323" s="14" t="str">
        <f t="shared" si="5"/>
        <v/>
      </c>
      <c r="H323" s="10"/>
      <c r="I323" s="10"/>
      <c r="J323" s="9"/>
      <c r="K323" s="9"/>
      <c r="L323" s="9"/>
      <c r="M323" s="2" t="str">
        <f t="shared" si="4"/>
        <v/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9"/>
      <c r="B324" s="10"/>
      <c r="C324" s="9"/>
      <c r="D324" s="9"/>
      <c r="E324" s="10"/>
      <c r="F324" s="13" t="str">
        <f>IF(E324="RWF",SUMIF('Exch. rate'!A:A,'Expenses report'!C324,'Exch. rate'!B:B),IF(E324="EUR",1,""))</f>
        <v/>
      </c>
      <c r="G324" s="14" t="str">
        <f t="shared" si="5"/>
        <v/>
      </c>
      <c r="H324" s="10"/>
      <c r="I324" s="10"/>
      <c r="J324" s="9"/>
      <c r="K324" s="9"/>
      <c r="L324" s="9"/>
      <c r="M324" s="2" t="str">
        <f t="shared" si="4"/>
        <v/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9"/>
      <c r="B325" s="10"/>
      <c r="C325" s="9"/>
      <c r="D325" s="9"/>
      <c r="E325" s="10"/>
      <c r="F325" s="13" t="str">
        <f>IF(E325="RWF",SUMIF('Exch. rate'!A:A,'Expenses report'!C325,'Exch. rate'!B:B),IF(E325="EUR",1,""))</f>
        <v/>
      </c>
      <c r="G325" s="14" t="str">
        <f t="shared" si="5"/>
        <v/>
      </c>
      <c r="H325" s="10"/>
      <c r="I325" s="10"/>
      <c r="J325" s="9"/>
      <c r="K325" s="9"/>
      <c r="L325" s="9"/>
      <c r="M325" s="2" t="str">
        <f t="shared" si="4"/>
        <v/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9"/>
      <c r="B326" s="10"/>
      <c r="C326" s="9"/>
      <c r="D326" s="9"/>
      <c r="E326" s="10"/>
      <c r="F326" s="13" t="str">
        <f>IF(E326="RWF",SUMIF('Exch. rate'!A:A,'Expenses report'!C326,'Exch. rate'!B:B),IF(E326="EUR",1,""))</f>
        <v/>
      </c>
      <c r="G326" s="14" t="str">
        <f t="shared" si="5"/>
        <v/>
      </c>
      <c r="H326" s="10"/>
      <c r="I326" s="10"/>
      <c r="J326" s="9"/>
      <c r="K326" s="9"/>
      <c r="L326" s="9"/>
      <c r="M326" s="2" t="str">
        <f t="shared" si="4"/>
        <v/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9"/>
      <c r="B327" s="10"/>
      <c r="C327" s="9"/>
      <c r="D327" s="9"/>
      <c r="E327" s="10"/>
      <c r="F327" s="13" t="str">
        <f>IF(E327="RWF",SUMIF('Exch. rate'!A:A,'Expenses report'!C327,'Exch. rate'!B:B),IF(E327="EUR",1,""))</f>
        <v/>
      </c>
      <c r="G327" s="14" t="str">
        <f t="shared" si="5"/>
        <v/>
      </c>
      <c r="H327" s="10"/>
      <c r="I327" s="10"/>
      <c r="J327" s="9"/>
      <c r="K327" s="9"/>
      <c r="L327" s="9"/>
      <c r="M327" s="2" t="str">
        <f t="shared" si="4"/>
        <v/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9"/>
      <c r="B328" s="10"/>
      <c r="C328" s="9"/>
      <c r="D328" s="9"/>
      <c r="E328" s="10"/>
      <c r="F328" s="13" t="str">
        <f>IF(E328="RWF",SUMIF('Exch. rate'!A:A,'Expenses report'!C328,'Exch. rate'!B:B),IF(E328="EUR",1,""))</f>
        <v/>
      </c>
      <c r="G328" s="14" t="str">
        <f t="shared" si="5"/>
        <v/>
      </c>
      <c r="H328" s="10"/>
      <c r="I328" s="10"/>
      <c r="J328" s="9"/>
      <c r="K328" s="9"/>
      <c r="L328" s="9"/>
      <c r="M328" s="2" t="str">
        <f t="shared" si="4"/>
        <v/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9"/>
      <c r="B329" s="10"/>
      <c r="C329" s="9"/>
      <c r="D329" s="9"/>
      <c r="E329" s="10"/>
      <c r="F329" s="13" t="str">
        <f>IF(E329="RWF",SUMIF('Exch. rate'!A:A,'Expenses report'!C329,'Exch. rate'!B:B),IF(E329="EUR",1,""))</f>
        <v/>
      </c>
      <c r="G329" s="14" t="str">
        <f t="shared" si="5"/>
        <v/>
      </c>
      <c r="H329" s="10"/>
      <c r="I329" s="10"/>
      <c r="J329" s="9"/>
      <c r="K329" s="9"/>
      <c r="L329" s="9"/>
      <c r="M329" s="2" t="str">
        <f t="shared" si="4"/>
        <v/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9"/>
      <c r="B330" s="10"/>
      <c r="C330" s="9"/>
      <c r="D330" s="9"/>
      <c r="E330" s="10"/>
      <c r="F330" s="13" t="str">
        <f>IF(E330="RWF",SUMIF('Exch. rate'!A:A,'Expenses report'!C330,'Exch. rate'!B:B),IF(E330="EUR",1,""))</f>
        <v/>
      </c>
      <c r="G330" s="14" t="str">
        <f t="shared" si="5"/>
        <v/>
      </c>
      <c r="H330" s="10"/>
      <c r="I330" s="10"/>
      <c r="J330" s="9"/>
      <c r="K330" s="9"/>
      <c r="L330" s="9"/>
      <c r="M330" s="2" t="str">
        <f t="shared" si="4"/>
        <v/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9"/>
      <c r="B331" s="10"/>
      <c r="C331" s="9"/>
      <c r="D331" s="9"/>
      <c r="E331" s="10"/>
      <c r="F331" s="13" t="str">
        <f>IF(E331="RWF",SUMIF('Exch. rate'!A:A,'Expenses report'!C331,'Exch. rate'!B:B),IF(E331="EUR",1,""))</f>
        <v/>
      </c>
      <c r="G331" s="14" t="str">
        <f t="shared" si="5"/>
        <v/>
      </c>
      <c r="H331" s="10"/>
      <c r="I331" s="10"/>
      <c r="J331" s="9"/>
      <c r="K331" s="9"/>
      <c r="L331" s="9"/>
      <c r="M331" s="2" t="str">
        <f t="shared" si="4"/>
        <v/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9"/>
      <c r="B332" s="10"/>
      <c r="C332" s="9"/>
      <c r="D332" s="9"/>
      <c r="E332" s="10"/>
      <c r="F332" s="13" t="str">
        <f>IF(E332="RWF",SUMIF('Exch. rate'!A:A,'Expenses report'!C332,'Exch. rate'!B:B),IF(E332="EUR",1,""))</f>
        <v/>
      </c>
      <c r="G332" s="14" t="str">
        <f t="shared" si="5"/>
        <v/>
      </c>
      <c r="H332" s="10"/>
      <c r="I332" s="10"/>
      <c r="J332" s="9"/>
      <c r="K332" s="9"/>
      <c r="L332" s="9"/>
      <c r="M332" s="2" t="str">
        <f t="shared" si="4"/>
        <v/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9"/>
      <c r="B333" s="10"/>
      <c r="C333" s="9"/>
      <c r="D333" s="9"/>
      <c r="E333" s="10"/>
      <c r="F333" s="13" t="str">
        <f>IF(E333="RWF",SUMIF('Exch. rate'!A:A,'Expenses report'!C333,'Exch. rate'!B:B),IF(E333="EUR",1,""))</f>
        <v/>
      </c>
      <c r="G333" s="14" t="str">
        <f t="shared" si="5"/>
        <v/>
      </c>
      <c r="H333" s="10"/>
      <c r="I333" s="10"/>
      <c r="J333" s="9"/>
      <c r="K333" s="9"/>
      <c r="L333" s="9"/>
      <c r="M333" s="2" t="str">
        <f t="shared" si="4"/>
        <v/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9"/>
      <c r="B334" s="10"/>
      <c r="C334" s="9"/>
      <c r="D334" s="9"/>
      <c r="E334" s="10"/>
      <c r="F334" s="13" t="str">
        <f>IF(E334="RWF",SUMIF('Exch. rate'!A:A,'Expenses report'!C334,'Exch. rate'!B:B),IF(E334="EUR",1,""))</f>
        <v/>
      </c>
      <c r="G334" s="14" t="str">
        <f t="shared" si="5"/>
        <v/>
      </c>
      <c r="H334" s="10"/>
      <c r="I334" s="10"/>
      <c r="J334" s="9"/>
      <c r="K334" s="9"/>
      <c r="L334" s="9"/>
      <c r="M334" s="2" t="str">
        <f t="shared" si="4"/>
        <v/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9"/>
      <c r="B335" s="10"/>
      <c r="C335" s="9"/>
      <c r="D335" s="9"/>
      <c r="E335" s="10"/>
      <c r="F335" s="13" t="str">
        <f>IF(E335="RWF",SUMIF('Exch. rate'!A:A,'Expenses report'!C335,'Exch. rate'!B:B),IF(E335="EUR",1,""))</f>
        <v/>
      </c>
      <c r="G335" s="14" t="str">
        <f t="shared" si="5"/>
        <v/>
      </c>
      <c r="H335" s="10"/>
      <c r="I335" s="10"/>
      <c r="J335" s="9"/>
      <c r="K335" s="9"/>
      <c r="L335" s="9"/>
      <c r="M335" s="2" t="str">
        <f t="shared" si="4"/>
        <v/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9"/>
      <c r="B336" s="10"/>
      <c r="C336" s="9"/>
      <c r="D336" s="9"/>
      <c r="E336" s="10"/>
      <c r="F336" s="13" t="str">
        <f>IF(E336="RWF",SUMIF('Exch. rate'!A:A,'Expenses report'!C336,'Exch. rate'!B:B),IF(E336="EUR",1,""))</f>
        <v/>
      </c>
      <c r="G336" s="14" t="str">
        <f t="shared" si="5"/>
        <v/>
      </c>
      <c r="H336" s="10"/>
      <c r="I336" s="10"/>
      <c r="J336" s="9"/>
      <c r="K336" s="9"/>
      <c r="L336" s="9"/>
      <c r="M336" s="2" t="str">
        <f t="shared" si="4"/>
        <v/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9"/>
      <c r="B337" s="10"/>
      <c r="C337" s="9"/>
      <c r="D337" s="9"/>
      <c r="E337" s="10"/>
      <c r="F337" s="13" t="str">
        <f>IF(E337="RWF",SUMIF('Exch. rate'!A:A,'Expenses report'!C337,'Exch. rate'!B:B),IF(E337="EUR",1,""))</f>
        <v/>
      </c>
      <c r="G337" s="14" t="str">
        <f t="shared" si="5"/>
        <v/>
      </c>
      <c r="H337" s="10"/>
      <c r="I337" s="10"/>
      <c r="J337" s="9"/>
      <c r="K337" s="9"/>
      <c r="L337" s="9"/>
      <c r="M337" s="2" t="str">
        <f t="shared" si="4"/>
        <v/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9"/>
      <c r="B338" s="10"/>
      <c r="C338" s="9"/>
      <c r="D338" s="9"/>
      <c r="E338" s="10"/>
      <c r="F338" s="13" t="str">
        <f>IF(E338="RWF",SUMIF('Exch. rate'!A:A,'Expenses report'!C338,'Exch. rate'!B:B),IF(E338="EUR",1,""))</f>
        <v/>
      </c>
      <c r="G338" s="14" t="str">
        <f t="shared" si="5"/>
        <v/>
      </c>
      <c r="H338" s="10"/>
      <c r="I338" s="10"/>
      <c r="J338" s="9"/>
      <c r="K338" s="9"/>
      <c r="L338" s="9"/>
      <c r="M338" s="2" t="str">
        <f t="shared" si="4"/>
        <v/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9"/>
      <c r="B339" s="10"/>
      <c r="C339" s="9"/>
      <c r="D339" s="9"/>
      <c r="E339" s="10"/>
      <c r="F339" s="13" t="str">
        <f>IF(E339="RWF",SUMIF('Exch. rate'!A:A,'Expenses report'!C339,'Exch. rate'!B:B),IF(E339="EUR",1,""))</f>
        <v/>
      </c>
      <c r="G339" s="14" t="str">
        <f t="shared" si="5"/>
        <v/>
      </c>
      <c r="H339" s="10"/>
      <c r="I339" s="10"/>
      <c r="J339" s="9"/>
      <c r="K339" s="9"/>
      <c r="L339" s="9"/>
      <c r="M339" s="2" t="str">
        <f t="shared" si="4"/>
        <v/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9"/>
      <c r="B340" s="10"/>
      <c r="C340" s="9"/>
      <c r="D340" s="9"/>
      <c r="E340" s="10"/>
      <c r="F340" s="13" t="str">
        <f>IF(E340="RWF",SUMIF('Exch. rate'!A:A,'Expenses report'!C340,'Exch. rate'!B:B),IF(E340="EUR",1,""))</f>
        <v/>
      </c>
      <c r="G340" s="14" t="str">
        <f t="shared" si="5"/>
        <v/>
      </c>
      <c r="H340" s="10"/>
      <c r="I340" s="10"/>
      <c r="J340" s="9"/>
      <c r="K340" s="9"/>
      <c r="L340" s="9"/>
      <c r="M340" s="2" t="str">
        <f t="shared" si="4"/>
        <v/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9"/>
      <c r="B341" s="10"/>
      <c r="C341" s="9"/>
      <c r="D341" s="9"/>
      <c r="E341" s="10"/>
      <c r="F341" s="13" t="str">
        <f>IF(E341="RWF",SUMIF('Exch. rate'!A:A,'Expenses report'!C341,'Exch. rate'!B:B),IF(E341="EUR",1,""))</f>
        <v/>
      </c>
      <c r="G341" s="14" t="str">
        <f t="shared" si="5"/>
        <v/>
      </c>
      <c r="H341" s="10"/>
      <c r="I341" s="10"/>
      <c r="J341" s="9"/>
      <c r="K341" s="9"/>
      <c r="L341" s="9"/>
      <c r="M341" s="2" t="str">
        <f t="shared" si="4"/>
        <v/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9"/>
      <c r="B342" s="10"/>
      <c r="C342" s="9"/>
      <c r="D342" s="9"/>
      <c r="E342" s="10"/>
      <c r="F342" s="13" t="str">
        <f>IF(E342="RWF",SUMIF('Exch. rate'!A:A,'Expenses report'!C342,'Exch. rate'!B:B),IF(E342="EUR",1,""))</f>
        <v/>
      </c>
      <c r="G342" s="14" t="str">
        <f t="shared" si="5"/>
        <v/>
      </c>
      <c r="H342" s="10"/>
      <c r="I342" s="10"/>
      <c r="J342" s="9"/>
      <c r="K342" s="9"/>
      <c r="L342" s="9"/>
      <c r="M342" s="2" t="str">
        <f t="shared" si="4"/>
        <v/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9"/>
      <c r="B343" s="10"/>
      <c r="C343" s="9"/>
      <c r="D343" s="9"/>
      <c r="E343" s="10"/>
      <c r="F343" s="13" t="str">
        <f>IF(E343="RWF",SUMIF('Exch. rate'!A:A,'Expenses report'!C343,'Exch. rate'!B:B),IF(E343="EUR",1,""))</f>
        <v/>
      </c>
      <c r="G343" s="14" t="str">
        <f t="shared" si="5"/>
        <v/>
      </c>
      <c r="H343" s="10"/>
      <c r="I343" s="10"/>
      <c r="J343" s="9"/>
      <c r="K343" s="9"/>
      <c r="L343" s="9"/>
      <c r="M343" s="2" t="str">
        <f t="shared" si="4"/>
        <v/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9"/>
      <c r="B344" s="10"/>
      <c r="C344" s="9"/>
      <c r="D344" s="9"/>
      <c r="E344" s="10"/>
      <c r="F344" s="13" t="str">
        <f>IF(E344="RWF",SUMIF('Exch. rate'!A:A,'Expenses report'!C344,'Exch. rate'!B:B),IF(E344="EUR",1,""))</f>
        <v/>
      </c>
      <c r="G344" s="14" t="str">
        <f t="shared" si="5"/>
        <v/>
      </c>
      <c r="H344" s="10"/>
      <c r="I344" s="10"/>
      <c r="J344" s="9"/>
      <c r="K344" s="9"/>
      <c r="L344" s="9"/>
      <c r="M344" s="2" t="str">
        <f t="shared" si="4"/>
        <v/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9"/>
      <c r="B345" s="10"/>
      <c r="C345" s="9"/>
      <c r="D345" s="9"/>
      <c r="E345" s="10"/>
      <c r="F345" s="13" t="str">
        <f>IF(E345="RWF",SUMIF('Exch. rate'!A:A,'Expenses report'!C345,'Exch. rate'!B:B),IF(E345="EUR",1,""))</f>
        <v/>
      </c>
      <c r="G345" s="14" t="str">
        <f t="shared" si="5"/>
        <v/>
      </c>
      <c r="H345" s="10"/>
      <c r="I345" s="10"/>
      <c r="J345" s="9"/>
      <c r="K345" s="9"/>
      <c r="L345" s="9"/>
      <c r="M345" s="2" t="str">
        <f t="shared" si="4"/>
        <v/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9"/>
      <c r="B346" s="10"/>
      <c r="C346" s="9"/>
      <c r="D346" s="9"/>
      <c r="E346" s="10"/>
      <c r="F346" s="13" t="str">
        <f>IF(E346="RWF",SUMIF('Exch. rate'!A:A,'Expenses report'!C346,'Exch. rate'!B:B),IF(E346="EUR",1,""))</f>
        <v/>
      </c>
      <c r="G346" s="14" t="str">
        <f t="shared" si="5"/>
        <v/>
      </c>
      <c r="H346" s="10"/>
      <c r="I346" s="10"/>
      <c r="J346" s="9"/>
      <c r="K346" s="9"/>
      <c r="L346" s="9"/>
      <c r="M346" s="2" t="str">
        <f t="shared" si="4"/>
        <v/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9"/>
      <c r="B347" s="10"/>
      <c r="C347" s="9"/>
      <c r="D347" s="9"/>
      <c r="E347" s="10"/>
      <c r="F347" s="13" t="str">
        <f>IF(E347="RWF",SUMIF('Exch. rate'!A:A,'Expenses report'!C347,'Exch. rate'!B:B),IF(E347="EUR",1,""))</f>
        <v/>
      </c>
      <c r="G347" s="14" t="str">
        <f t="shared" si="5"/>
        <v/>
      </c>
      <c r="H347" s="10"/>
      <c r="I347" s="10"/>
      <c r="J347" s="9"/>
      <c r="K347" s="9"/>
      <c r="L347" s="9"/>
      <c r="M347" s="2" t="str">
        <f t="shared" si="4"/>
        <v/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9"/>
      <c r="B348" s="10"/>
      <c r="C348" s="9"/>
      <c r="D348" s="9"/>
      <c r="E348" s="10"/>
      <c r="F348" s="13" t="str">
        <f>IF(E348="RWF",SUMIF('Exch. rate'!A:A,'Expenses report'!C348,'Exch. rate'!B:B),IF(E348="EUR",1,""))</f>
        <v/>
      </c>
      <c r="G348" s="14" t="str">
        <f t="shared" si="5"/>
        <v/>
      </c>
      <c r="H348" s="10"/>
      <c r="I348" s="10"/>
      <c r="J348" s="9"/>
      <c r="K348" s="9"/>
      <c r="L348" s="9"/>
      <c r="M348" s="2" t="str">
        <f t="shared" si="4"/>
        <v/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9"/>
      <c r="B349" s="10"/>
      <c r="C349" s="9"/>
      <c r="D349" s="9"/>
      <c r="E349" s="10"/>
      <c r="F349" s="13" t="str">
        <f>IF(E349="RWF",SUMIF('Exch. rate'!A:A,'Expenses report'!C349,'Exch. rate'!B:B),IF(E349="EUR",1,""))</f>
        <v/>
      </c>
      <c r="G349" s="14" t="str">
        <f t="shared" si="5"/>
        <v/>
      </c>
      <c r="H349" s="10"/>
      <c r="I349" s="10"/>
      <c r="J349" s="9"/>
      <c r="K349" s="9"/>
      <c r="L349" s="9"/>
      <c r="M349" s="2" t="str">
        <f t="shared" si="4"/>
        <v/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9"/>
      <c r="B350" s="10"/>
      <c r="C350" s="9"/>
      <c r="D350" s="9"/>
      <c r="E350" s="10"/>
      <c r="F350" s="13" t="str">
        <f>IF(E350="RWF",SUMIF('Exch. rate'!A:A,'Expenses report'!C350,'Exch. rate'!B:B),IF(E350="EUR",1,""))</f>
        <v/>
      </c>
      <c r="G350" s="14" t="str">
        <f t="shared" si="5"/>
        <v/>
      </c>
      <c r="H350" s="10"/>
      <c r="I350" s="10"/>
      <c r="J350" s="9"/>
      <c r="K350" s="9"/>
      <c r="L350" s="9"/>
      <c r="M350" s="2" t="str">
        <f t="shared" si="4"/>
        <v/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9"/>
      <c r="B351" s="10"/>
      <c r="C351" s="9"/>
      <c r="D351" s="9"/>
      <c r="E351" s="10"/>
      <c r="F351" s="13" t="str">
        <f>IF(E351="RWF",SUMIF('Exch. rate'!A:A,'Expenses report'!C351,'Exch. rate'!B:B),IF(E351="EUR",1,""))</f>
        <v/>
      </c>
      <c r="G351" s="14" t="str">
        <f t="shared" si="5"/>
        <v/>
      </c>
      <c r="H351" s="10"/>
      <c r="I351" s="10"/>
      <c r="J351" s="9"/>
      <c r="K351" s="9"/>
      <c r="L351" s="9"/>
      <c r="M351" s="2" t="str">
        <f t="shared" si="4"/>
        <v/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9"/>
      <c r="B352" s="10"/>
      <c r="C352" s="9"/>
      <c r="D352" s="9"/>
      <c r="E352" s="10"/>
      <c r="F352" s="13" t="str">
        <f>IF(E352="RWF",SUMIF('Exch. rate'!A:A,'Expenses report'!C352,'Exch. rate'!B:B),IF(E352="EUR",1,""))</f>
        <v/>
      </c>
      <c r="G352" s="14" t="str">
        <f t="shared" si="5"/>
        <v/>
      </c>
      <c r="H352" s="10"/>
      <c r="I352" s="10"/>
      <c r="J352" s="9"/>
      <c r="K352" s="9"/>
      <c r="L352" s="9"/>
      <c r="M352" s="2" t="str">
        <f t="shared" si="4"/>
        <v/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9"/>
      <c r="B553" s="20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20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spans="1:31" ht="15.75" customHeight="1">
      <c r="A554" s="19"/>
      <c r="B554" s="20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20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spans="1:31" ht="15.75" customHeight="1">
      <c r="A555" s="19"/>
      <c r="B555" s="20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20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spans="1:31" ht="15.75" customHeight="1">
      <c r="A556" s="19"/>
      <c r="B556" s="20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20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spans="1:31" ht="15.75" customHeight="1">
      <c r="A557" s="19"/>
      <c r="B557" s="20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20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spans="1:31" ht="15.75" customHeight="1">
      <c r="A558" s="19"/>
      <c r="B558" s="20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20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spans="1:31" ht="15.75" customHeight="1">
      <c r="A559" s="19"/>
      <c r="B559" s="20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20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spans="1:31" ht="15.75" customHeight="1">
      <c r="A560" s="19"/>
      <c r="B560" s="20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20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spans="1:31" ht="15.75" customHeight="1">
      <c r="A561" s="19"/>
      <c r="B561" s="20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20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spans="1:31" ht="15.75" customHeight="1">
      <c r="A562" s="19"/>
      <c r="B562" s="20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20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spans="1:31" ht="15.75" customHeight="1">
      <c r="A563" s="19"/>
      <c r="B563" s="20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20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spans="1:31" ht="15.75" customHeight="1">
      <c r="A564" s="19"/>
      <c r="B564" s="20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20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spans="1:31" ht="15.75" customHeight="1">
      <c r="A565" s="19"/>
      <c r="B565" s="20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20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spans="1:31" ht="15.75" customHeight="1">
      <c r="A566" s="19"/>
      <c r="B566" s="20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20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spans="1:31" ht="15.75" customHeight="1">
      <c r="A567" s="19"/>
      <c r="B567" s="20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20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spans="1:31" ht="15.75" customHeight="1">
      <c r="A568" s="19"/>
      <c r="B568" s="20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20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spans="1:31" ht="15.75" customHeight="1">
      <c r="A569" s="19"/>
      <c r="B569" s="20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20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spans="1:31" ht="15.75" customHeight="1">
      <c r="A570" s="19"/>
      <c r="B570" s="20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20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spans="1:31" ht="15.75" customHeight="1">
      <c r="A571" s="19"/>
      <c r="B571" s="20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20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spans="1:31" ht="15.75" customHeight="1">
      <c r="A572" s="19"/>
      <c r="B572" s="20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20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spans="1:31" ht="15.75" customHeight="1">
      <c r="A573" s="19"/>
      <c r="B573" s="20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20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spans="1:31" ht="15.75" customHeight="1">
      <c r="A574" s="19"/>
      <c r="B574" s="20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20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spans="1:31" ht="15.75" customHeight="1">
      <c r="A575" s="19"/>
      <c r="B575" s="20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20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spans="1:31" ht="15.75" customHeight="1">
      <c r="A576" s="19"/>
      <c r="B576" s="20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20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spans="1:31" ht="15.75" customHeight="1">
      <c r="A577" s="19"/>
      <c r="B577" s="20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20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spans="1:31" ht="15.75" customHeight="1">
      <c r="A578" s="19"/>
      <c r="B578" s="20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20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spans="1:31" ht="15.75" customHeight="1">
      <c r="A579" s="19"/>
      <c r="B579" s="20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20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spans="1:31" ht="15.75" customHeight="1">
      <c r="A580" s="19"/>
      <c r="B580" s="20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20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spans="1:31" ht="15.75" customHeight="1">
      <c r="A581" s="19"/>
      <c r="B581" s="20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20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spans="1:31" ht="15.75" customHeight="1">
      <c r="A582" s="19"/>
      <c r="B582" s="20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20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spans="1:31" ht="15.75" customHeight="1">
      <c r="A583" s="19"/>
      <c r="B583" s="20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20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spans="1:31" ht="15.75" customHeight="1">
      <c r="A584" s="19"/>
      <c r="B584" s="20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20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spans="1:31" ht="15.75" customHeight="1">
      <c r="A585" s="19"/>
      <c r="B585" s="20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20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spans="1:31" ht="15.75" customHeight="1">
      <c r="A586" s="19"/>
      <c r="B586" s="20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20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spans="1:31" ht="15.75" customHeight="1">
      <c r="A587" s="19"/>
      <c r="B587" s="20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20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spans="1:31" ht="15.75" customHeight="1">
      <c r="A588" s="19"/>
      <c r="B588" s="20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20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spans="1:31" ht="15.75" customHeight="1">
      <c r="A589" s="19"/>
      <c r="B589" s="20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20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spans="1:31" ht="15.75" customHeight="1">
      <c r="A590" s="19"/>
      <c r="B590" s="20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20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spans="1:31" ht="15.75" customHeight="1">
      <c r="A591" s="19"/>
      <c r="B591" s="20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20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spans="1:31" ht="15.75" customHeight="1">
      <c r="A592" s="19"/>
      <c r="B592" s="20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20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spans="1:31" ht="15.75" customHeight="1">
      <c r="A593" s="19"/>
      <c r="B593" s="20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20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spans="1:31" ht="15.75" customHeight="1">
      <c r="A594" s="19"/>
      <c r="B594" s="20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20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spans="1:31" ht="15.75" customHeight="1">
      <c r="A595" s="19"/>
      <c r="B595" s="20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20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spans="1:31" ht="15.75" customHeight="1">
      <c r="A596" s="19"/>
      <c r="B596" s="20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20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spans="1:31" ht="15.75" customHeight="1">
      <c r="A597" s="19"/>
      <c r="B597" s="20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20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spans="1:31" ht="15.75" customHeight="1">
      <c r="A598" s="19"/>
      <c r="B598" s="20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20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spans="1:31" ht="15.75" customHeight="1">
      <c r="A599" s="19"/>
      <c r="B599" s="20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20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spans="1:31" ht="15.75" customHeight="1">
      <c r="A600" s="19"/>
      <c r="B600" s="20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20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spans="1:31" ht="15.75" customHeight="1">
      <c r="A601" s="19"/>
      <c r="B601" s="20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20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spans="1:31" ht="15.75" customHeight="1">
      <c r="A602" s="19"/>
      <c r="B602" s="20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20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spans="1:31" ht="15.75" customHeight="1">
      <c r="A603" s="19"/>
      <c r="B603" s="20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20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spans="1:31" ht="15.75" customHeight="1">
      <c r="A604" s="19"/>
      <c r="B604" s="20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20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spans="1:31" ht="15.75" customHeight="1">
      <c r="A605" s="19"/>
      <c r="B605" s="20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20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spans="1:31" ht="15.75" customHeight="1">
      <c r="A606" s="19"/>
      <c r="B606" s="20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20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spans="1:31" ht="15.75" customHeight="1">
      <c r="A607" s="19"/>
      <c r="B607" s="20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20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spans="1:31" ht="15.75" customHeight="1">
      <c r="A608" s="19"/>
      <c r="B608" s="20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20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spans="1:31" ht="15.75" customHeight="1">
      <c r="A609" s="19"/>
      <c r="B609" s="20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20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spans="1:31" ht="15.75" customHeight="1">
      <c r="A610" s="19"/>
      <c r="B610" s="20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20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spans="1:31" ht="15.75" customHeight="1">
      <c r="A611" s="19"/>
      <c r="B611" s="20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20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spans="1:31" ht="15.75" customHeight="1">
      <c r="A612" s="19"/>
      <c r="B612" s="20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20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spans="1:31" ht="15.75" customHeight="1">
      <c r="A613" s="19"/>
      <c r="B613" s="20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20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spans="1:31" ht="15.75" customHeight="1">
      <c r="A614" s="19"/>
      <c r="B614" s="20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20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spans="1:31" ht="15.75" customHeight="1">
      <c r="A615" s="19"/>
      <c r="B615" s="20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20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spans="1:31" ht="15.75" customHeight="1">
      <c r="A616" s="19"/>
      <c r="B616" s="20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20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spans="1:31" ht="15.75" customHeight="1">
      <c r="A617" s="19"/>
      <c r="B617" s="20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20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spans="1:31" ht="15.75" customHeight="1">
      <c r="A618" s="19"/>
      <c r="B618" s="20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20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spans="1:31" ht="15.75" customHeight="1">
      <c r="A619" s="19"/>
      <c r="B619" s="20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20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spans="1:31" ht="15.75" customHeight="1">
      <c r="A620" s="19"/>
      <c r="B620" s="20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20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spans="1:31" ht="15.75" customHeight="1">
      <c r="A621" s="19"/>
      <c r="B621" s="20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20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spans="1:31" ht="15.75" customHeight="1">
      <c r="A622" s="19"/>
      <c r="B622" s="20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20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spans="1:31" ht="15.75" customHeight="1">
      <c r="A623" s="19"/>
      <c r="B623" s="20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20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spans="1:31" ht="15.75" customHeight="1">
      <c r="A624" s="19"/>
      <c r="B624" s="20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20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spans="1:31" ht="15.75" customHeight="1">
      <c r="A625" s="19"/>
      <c r="B625" s="20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20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spans="1:31" ht="15.75" customHeight="1">
      <c r="A626" s="19"/>
      <c r="B626" s="20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20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spans="1:31" ht="15.75" customHeight="1">
      <c r="A627" s="19"/>
      <c r="B627" s="20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20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spans="1:31" ht="15.75" customHeight="1">
      <c r="A628" s="19"/>
      <c r="B628" s="20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20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spans="1:31" ht="15.75" customHeight="1">
      <c r="A629" s="19"/>
      <c r="B629" s="20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20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spans="1:31" ht="15.75" customHeight="1">
      <c r="A630" s="19"/>
      <c r="B630" s="20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20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spans="1:31" ht="15.75" customHeight="1">
      <c r="A631" s="19"/>
      <c r="B631" s="20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20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spans="1:31" ht="15.75" customHeight="1">
      <c r="A632" s="19"/>
      <c r="B632" s="20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20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spans="1:31" ht="15.75" customHeight="1">
      <c r="A633" s="19"/>
      <c r="B633" s="20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20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spans="1:31" ht="15.75" customHeight="1">
      <c r="A634" s="19"/>
      <c r="B634" s="20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20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spans="1:31" ht="15.75" customHeight="1">
      <c r="A635" s="19"/>
      <c r="B635" s="20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20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spans="1:31" ht="15.75" customHeight="1">
      <c r="A636" s="19"/>
      <c r="B636" s="20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20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spans="1:31" ht="15.75" customHeight="1">
      <c r="A637" s="19"/>
      <c r="B637" s="20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20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spans="1:31" ht="15.75" customHeight="1">
      <c r="A638" s="19"/>
      <c r="B638" s="20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20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spans="1:31" ht="15.75" customHeight="1">
      <c r="A639" s="19"/>
      <c r="B639" s="20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20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spans="1:31" ht="15.75" customHeight="1">
      <c r="A640" s="19"/>
      <c r="B640" s="20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20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spans="1:31" ht="15.75" customHeight="1">
      <c r="A641" s="19"/>
      <c r="B641" s="20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20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spans="1:31" ht="15.75" customHeight="1">
      <c r="A642" s="19"/>
      <c r="B642" s="20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20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spans="1:31" ht="15.75" customHeight="1">
      <c r="A643" s="19"/>
      <c r="B643" s="20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20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spans="1:31" ht="15.75" customHeight="1">
      <c r="A644" s="19"/>
      <c r="B644" s="20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20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spans="1:31" ht="15.75" customHeight="1">
      <c r="A645" s="19"/>
      <c r="B645" s="20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20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spans="1:31" ht="15.75" customHeight="1">
      <c r="A646" s="19"/>
      <c r="B646" s="20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20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spans="1:31" ht="15.75" customHeight="1">
      <c r="A647" s="19"/>
      <c r="B647" s="20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20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spans="1:31" ht="15.75" customHeight="1">
      <c r="A648" s="19"/>
      <c r="B648" s="20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20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spans="1:31" ht="15.75" customHeight="1">
      <c r="A649" s="19"/>
      <c r="B649" s="20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20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spans="1:31" ht="15.75" customHeight="1">
      <c r="A650" s="19"/>
      <c r="B650" s="20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20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spans="1:31" ht="15.75" customHeight="1">
      <c r="A651" s="19"/>
      <c r="B651" s="20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20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spans="1:31" ht="15.75" customHeight="1">
      <c r="A652" s="19"/>
      <c r="B652" s="20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20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spans="1:31" ht="15.75" customHeight="1">
      <c r="A653" s="19"/>
      <c r="B653" s="20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20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spans="1:31" ht="15.75" customHeight="1">
      <c r="A654" s="19"/>
      <c r="B654" s="20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20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spans="1:31" ht="15.75" customHeight="1">
      <c r="A655" s="19"/>
      <c r="B655" s="20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20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spans="1:31" ht="15.75" customHeight="1">
      <c r="A656" s="19"/>
      <c r="B656" s="20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20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spans="1:31" ht="15.75" customHeight="1">
      <c r="A657" s="19"/>
      <c r="B657" s="20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20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spans="1:31" ht="15.75" customHeight="1">
      <c r="A658" s="19"/>
      <c r="B658" s="20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20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spans="1:31" ht="15.75" customHeight="1">
      <c r="A659" s="19"/>
      <c r="B659" s="20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20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spans="1:31" ht="15.75" customHeight="1">
      <c r="A660" s="19"/>
      <c r="B660" s="20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20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spans="1:31" ht="15.75" customHeight="1">
      <c r="A661" s="19"/>
      <c r="B661" s="20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20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spans="1:31" ht="15.75" customHeight="1">
      <c r="A662" s="19"/>
      <c r="B662" s="20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20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spans="1:31" ht="15.75" customHeight="1">
      <c r="A663" s="19"/>
      <c r="B663" s="20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20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spans="1:31" ht="15.75" customHeight="1">
      <c r="A664" s="19"/>
      <c r="B664" s="20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20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spans="1:31" ht="15.75" customHeight="1">
      <c r="A665" s="19"/>
      <c r="B665" s="20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20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spans="1:31" ht="15.75" customHeight="1">
      <c r="A666" s="19"/>
      <c r="B666" s="20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20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spans="1:31" ht="15.75" customHeight="1">
      <c r="A667" s="19"/>
      <c r="B667" s="20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20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spans="1:31" ht="15.75" customHeight="1">
      <c r="A668" s="19"/>
      <c r="B668" s="20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20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spans="1:31" ht="15.75" customHeight="1">
      <c r="A669" s="19"/>
      <c r="B669" s="20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20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spans="1:31" ht="15.75" customHeight="1">
      <c r="A670" s="19"/>
      <c r="B670" s="20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20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spans="1:31" ht="15.75" customHeight="1">
      <c r="A671" s="19"/>
      <c r="B671" s="20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20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spans="1:31" ht="15.75" customHeight="1">
      <c r="A672" s="19"/>
      <c r="B672" s="20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20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spans="1:31" ht="15.75" customHeight="1">
      <c r="A673" s="19"/>
      <c r="B673" s="20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20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spans="1:31" ht="15.75" customHeight="1">
      <c r="A674" s="19"/>
      <c r="B674" s="20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20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spans="1:31" ht="15.75" customHeight="1">
      <c r="A675" s="19"/>
      <c r="B675" s="20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20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spans="1:31" ht="15.75" customHeight="1">
      <c r="A676" s="19"/>
      <c r="B676" s="20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20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spans="1:31" ht="15.75" customHeight="1">
      <c r="A677" s="19"/>
      <c r="B677" s="20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20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spans="1:31" ht="15.75" customHeight="1">
      <c r="A678" s="19"/>
      <c r="B678" s="20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20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spans="1:31" ht="15.75" customHeight="1">
      <c r="A679" s="19"/>
      <c r="B679" s="20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20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spans="1:31" ht="15.75" customHeight="1">
      <c r="A680" s="19"/>
      <c r="B680" s="20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20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spans="1:31" ht="15.75" customHeight="1">
      <c r="A681" s="19"/>
      <c r="B681" s="20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20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spans="1:31" ht="15.75" customHeight="1">
      <c r="A682" s="19"/>
      <c r="B682" s="20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20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spans="1:31" ht="15.75" customHeight="1">
      <c r="A683" s="19"/>
      <c r="B683" s="20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20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spans="1:31" ht="15.75" customHeight="1">
      <c r="A684" s="19"/>
      <c r="B684" s="20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20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spans="1:31" ht="15.75" customHeight="1">
      <c r="A685" s="19"/>
      <c r="B685" s="20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20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spans="1:31" ht="15.75" customHeight="1">
      <c r="A686" s="19"/>
      <c r="B686" s="20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20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spans="1:31" ht="15.75" customHeight="1">
      <c r="A687" s="19"/>
      <c r="B687" s="20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20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spans="1:31" ht="15.75" customHeight="1">
      <c r="A688" s="19"/>
      <c r="B688" s="20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20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spans="1:31" ht="15.75" customHeight="1">
      <c r="A689" s="19"/>
      <c r="B689" s="20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20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spans="1:31" ht="15.75" customHeight="1">
      <c r="A690" s="19"/>
      <c r="B690" s="20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20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spans="1:31" ht="15.75" customHeight="1">
      <c r="A691" s="19"/>
      <c r="B691" s="20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20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spans="1:31" ht="15.75" customHeight="1">
      <c r="A692" s="19"/>
      <c r="B692" s="20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20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spans="1:31" ht="15.75" customHeight="1">
      <c r="A693" s="19"/>
      <c r="B693" s="20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20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spans="1:31" ht="15.75" customHeight="1">
      <c r="A694" s="19"/>
      <c r="B694" s="20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20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spans="1:31" ht="15.75" customHeight="1">
      <c r="A695" s="19"/>
      <c r="B695" s="20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20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spans="1:31" ht="15.75" customHeight="1">
      <c r="A696" s="19"/>
      <c r="B696" s="20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20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spans="1:31" ht="15.75" customHeight="1">
      <c r="A697" s="19"/>
      <c r="B697" s="20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20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spans="1:31" ht="15.75" customHeight="1">
      <c r="A698" s="19"/>
      <c r="B698" s="20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20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spans="1:31" ht="15.75" customHeight="1">
      <c r="A699" s="19"/>
      <c r="B699" s="20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20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spans="1:31" ht="15.75" customHeight="1">
      <c r="A700" s="19"/>
      <c r="B700" s="20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20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spans="1:31" ht="15.75" customHeight="1">
      <c r="A701" s="19"/>
      <c r="B701" s="20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20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spans="1:31" ht="15.75" customHeight="1">
      <c r="A702" s="19"/>
      <c r="B702" s="20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20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spans="1:31" ht="15.75" customHeight="1">
      <c r="A703" s="19"/>
      <c r="B703" s="20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20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spans="1:31" ht="15.75" customHeight="1">
      <c r="A704" s="19"/>
      <c r="B704" s="20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20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spans="1:31" ht="15.75" customHeight="1">
      <c r="A705" s="19"/>
      <c r="B705" s="20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20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spans="1:31" ht="15.75" customHeight="1">
      <c r="A706" s="19"/>
      <c r="B706" s="20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20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spans="1:31" ht="15.75" customHeight="1">
      <c r="A707" s="19"/>
      <c r="B707" s="20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20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spans="1:31" ht="15.75" customHeight="1">
      <c r="A708" s="19"/>
      <c r="B708" s="20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20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spans="1:31" ht="15.75" customHeight="1">
      <c r="A709" s="19"/>
      <c r="B709" s="20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20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spans="1:31" ht="15.75" customHeight="1">
      <c r="A710" s="19"/>
      <c r="B710" s="20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20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spans="1:31" ht="15.75" customHeight="1">
      <c r="A711" s="19"/>
      <c r="B711" s="20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20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spans="1:31" ht="15.75" customHeight="1">
      <c r="A712" s="19"/>
      <c r="B712" s="20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20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spans="1:31" ht="15.75" customHeight="1">
      <c r="A713" s="19"/>
      <c r="B713" s="20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20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spans="1:31" ht="15.75" customHeight="1">
      <c r="A714" s="19"/>
      <c r="B714" s="20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20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spans="1:31" ht="15.75" customHeight="1">
      <c r="A715" s="19"/>
      <c r="B715" s="20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20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spans="1:31" ht="15.75" customHeight="1">
      <c r="A716" s="19"/>
      <c r="B716" s="20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20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spans="1:31" ht="15.75" customHeight="1">
      <c r="A717" s="19"/>
      <c r="B717" s="20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20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spans="1:31" ht="15.75" customHeight="1">
      <c r="A718" s="19"/>
      <c r="B718" s="20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20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spans="1:31" ht="15.75" customHeight="1">
      <c r="A719" s="19"/>
      <c r="B719" s="20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20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spans="1:31" ht="15.75" customHeight="1">
      <c r="A720" s="19"/>
      <c r="B720" s="20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20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spans="1:31" ht="15.75" customHeight="1">
      <c r="A721" s="19"/>
      <c r="B721" s="20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20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spans="1:31" ht="15.75" customHeight="1">
      <c r="A722" s="19"/>
      <c r="B722" s="20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20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spans="1:31" ht="15.75" customHeight="1">
      <c r="A723" s="19"/>
      <c r="B723" s="20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20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spans="1:31" ht="15.75" customHeight="1">
      <c r="A724" s="19"/>
      <c r="B724" s="20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20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spans="1:31" ht="15.75" customHeight="1">
      <c r="A725" s="19"/>
      <c r="B725" s="20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20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spans="1:31" ht="15.75" customHeight="1">
      <c r="A726" s="19"/>
      <c r="B726" s="20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20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spans="1:31" ht="15.75" customHeight="1">
      <c r="A727" s="19"/>
      <c r="B727" s="20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20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spans="1:31" ht="15.75" customHeight="1">
      <c r="A728" s="19"/>
      <c r="B728" s="20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20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spans="1:31" ht="15.75" customHeight="1">
      <c r="A729" s="19"/>
      <c r="B729" s="20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20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spans="1:31" ht="15.75" customHeight="1">
      <c r="A730" s="19"/>
      <c r="B730" s="20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20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spans="1:31" ht="15.75" customHeight="1">
      <c r="A731" s="19"/>
      <c r="B731" s="20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20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spans="1:31" ht="15.75" customHeight="1">
      <c r="A732" s="19"/>
      <c r="B732" s="20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20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spans="1:31" ht="15.75" customHeight="1">
      <c r="A733" s="19"/>
      <c r="B733" s="20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20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spans="1:31" ht="15.75" customHeight="1">
      <c r="A734" s="19"/>
      <c r="B734" s="20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20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spans="1:31" ht="15.75" customHeight="1">
      <c r="A735" s="19"/>
      <c r="B735" s="20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20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spans="1:31" ht="15.75" customHeight="1">
      <c r="A736" s="19"/>
      <c r="B736" s="20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20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spans="1:31" ht="15.75" customHeight="1">
      <c r="A737" s="19"/>
      <c r="B737" s="20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20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spans="1:31" ht="15.75" customHeight="1">
      <c r="A738" s="19"/>
      <c r="B738" s="20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20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spans="1:31" ht="15.75" customHeight="1">
      <c r="A739" s="19"/>
      <c r="B739" s="20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20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spans="1:31" ht="15.75" customHeight="1">
      <c r="A740" s="19"/>
      <c r="B740" s="20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20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spans="1:31" ht="15.75" customHeight="1">
      <c r="A741" s="19"/>
      <c r="B741" s="20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20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spans="1:31" ht="15.75" customHeight="1">
      <c r="A742" s="19"/>
      <c r="B742" s="20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20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spans="1:31" ht="15.75" customHeight="1">
      <c r="A743" s="19"/>
      <c r="B743" s="20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20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spans="1:31" ht="15.75" customHeight="1">
      <c r="A744" s="19"/>
      <c r="B744" s="20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20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spans="1:31" ht="15.75" customHeight="1">
      <c r="A745" s="19"/>
      <c r="B745" s="20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20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spans="1:31" ht="15.75" customHeight="1">
      <c r="A746" s="19"/>
      <c r="B746" s="20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20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spans="1:31" ht="15.75" customHeight="1">
      <c r="A747" s="19"/>
      <c r="B747" s="20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20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spans="1:31" ht="15.75" customHeight="1">
      <c r="A748" s="19"/>
      <c r="B748" s="20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20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spans="1:31" ht="15.75" customHeight="1">
      <c r="A749" s="19"/>
      <c r="B749" s="20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20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spans="1:31" ht="15.75" customHeight="1">
      <c r="A750" s="19"/>
      <c r="B750" s="20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20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spans="1:31" ht="15.75" customHeight="1">
      <c r="A751" s="19"/>
      <c r="B751" s="20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20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spans="1:31" ht="15.75" customHeight="1">
      <c r="A752" s="19"/>
      <c r="B752" s="20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20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spans="1:31" ht="15.75" customHeight="1">
      <c r="A753" s="19"/>
      <c r="B753" s="20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20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spans="1:31" ht="15.75" customHeight="1">
      <c r="A754" s="19"/>
      <c r="B754" s="20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20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spans="1:31" ht="15.75" customHeight="1">
      <c r="A755" s="19"/>
      <c r="B755" s="20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20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spans="1:31" ht="15.75" customHeight="1">
      <c r="A756" s="19"/>
      <c r="B756" s="20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20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spans="1:31" ht="15.75" customHeight="1">
      <c r="A757" s="19"/>
      <c r="B757" s="20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20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spans="1:31" ht="15.75" customHeight="1">
      <c r="A758" s="19"/>
      <c r="B758" s="20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20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spans="1:31" ht="15.75" customHeight="1">
      <c r="A759" s="19"/>
      <c r="B759" s="20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20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spans="1:31" ht="15.75" customHeight="1">
      <c r="A760" s="19"/>
      <c r="B760" s="20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20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spans="1:31" ht="15.75" customHeight="1">
      <c r="A761" s="19"/>
      <c r="B761" s="20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20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spans="1:31" ht="15.75" customHeight="1">
      <c r="A762" s="19"/>
      <c r="B762" s="20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20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spans="1:31" ht="15.75" customHeight="1">
      <c r="A763" s="19"/>
      <c r="B763" s="20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20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spans="1:31" ht="15.75" customHeight="1">
      <c r="A764" s="19"/>
      <c r="B764" s="20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20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spans="1:31" ht="15.75" customHeight="1">
      <c r="A765" s="19"/>
      <c r="B765" s="20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20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spans="1:31" ht="15.75" customHeight="1">
      <c r="A766" s="19"/>
      <c r="B766" s="20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20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spans="1:31" ht="15.75" customHeight="1">
      <c r="A767" s="19"/>
      <c r="B767" s="20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20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spans="1:31" ht="15.75" customHeight="1">
      <c r="A768" s="19"/>
      <c r="B768" s="20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20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spans="1:31" ht="15.75" customHeight="1">
      <c r="A769" s="19"/>
      <c r="B769" s="20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20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spans="1:31" ht="15.75" customHeight="1">
      <c r="A770" s="19"/>
      <c r="B770" s="20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20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spans="1:31" ht="15.75" customHeight="1">
      <c r="A771" s="19"/>
      <c r="B771" s="20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20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spans="1:31" ht="15.75" customHeight="1">
      <c r="A772" s="19"/>
      <c r="B772" s="20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20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spans="1:31" ht="15.75" customHeight="1">
      <c r="A773" s="19"/>
      <c r="B773" s="20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20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spans="1:31" ht="15.75" customHeight="1">
      <c r="A774" s="19"/>
      <c r="B774" s="20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20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spans="1:31" ht="15.75" customHeight="1">
      <c r="A775" s="19"/>
      <c r="B775" s="20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20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spans="1:31" ht="15.75" customHeight="1">
      <c r="A776" s="19"/>
      <c r="B776" s="20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20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spans="1:31" ht="15.75" customHeight="1">
      <c r="A777" s="19"/>
      <c r="B777" s="20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20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spans="1:31" ht="15.75" customHeight="1">
      <c r="A778" s="19"/>
      <c r="B778" s="20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20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spans="1:31" ht="15.75" customHeight="1">
      <c r="A779" s="19"/>
      <c r="B779" s="20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20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spans="1:31" ht="15.75" customHeight="1">
      <c r="A780" s="19"/>
      <c r="B780" s="20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20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spans="1:31" ht="15.75" customHeight="1">
      <c r="A781" s="19"/>
      <c r="B781" s="20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20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spans="1:31" ht="15.75" customHeight="1">
      <c r="A782" s="19"/>
      <c r="B782" s="20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20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spans="1:31" ht="15.75" customHeight="1">
      <c r="A783" s="19"/>
      <c r="B783" s="20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20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spans="1:31" ht="15.75" customHeight="1">
      <c r="A784" s="19"/>
      <c r="B784" s="20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20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spans="1:31" ht="15.75" customHeight="1">
      <c r="A785" s="19"/>
      <c r="B785" s="20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20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spans="1:31" ht="15.75" customHeight="1">
      <c r="A786" s="19"/>
      <c r="B786" s="20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20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spans="1:31" ht="15.75" customHeight="1">
      <c r="A787" s="19"/>
      <c r="B787" s="20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20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spans="1:31" ht="15.75" customHeight="1">
      <c r="A788" s="19"/>
      <c r="B788" s="20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20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spans="1:31" ht="15.75" customHeight="1">
      <c r="A789" s="19"/>
      <c r="B789" s="20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20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spans="1:31" ht="15.75" customHeight="1">
      <c r="A790" s="19"/>
      <c r="B790" s="20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20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spans="1:31" ht="15.75" customHeight="1">
      <c r="A791" s="19"/>
      <c r="B791" s="20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20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spans="1:31" ht="15.75" customHeight="1">
      <c r="A792" s="19"/>
      <c r="B792" s="20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20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spans="1:31" ht="15.75" customHeight="1">
      <c r="A793" s="19"/>
      <c r="B793" s="20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20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spans="1:31" ht="15.75" customHeight="1">
      <c r="A794" s="19"/>
      <c r="B794" s="20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20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spans="1:31" ht="15.75" customHeight="1">
      <c r="A795" s="19"/>
      <c r="B795" s="20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20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spans="1:31" ht="15.75" customHeight="1">
      <c r="A796" s="19"/>
      <c r="B796" s="20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20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spans="1:31" ht="15.75" customHeight="1">
      <c r="A797" s="19"/>
      <c r="B797" s="20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20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spans="1:31" ht="15.75" customHeight="1">
      <c r="A798" s="19"/>
      <c r="B798" s="20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20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spans="1:31" ht="15.75" customHeight="1">
      <c r="A799" s="19"/>
      <c r="B799" s="20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20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spans="1:31" ht="15.75" customHeight="1">
      <c r="A800" s="19"/>
      <c r="B800" s="20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20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spans="1:31" ht="15.75" customHeight="1">
      <c r="A801" s="19"/>
      <c r="B801" s="20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20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spans="1:31" ht="15.75" customHeight="1">
      <c r="A802" s="19"/>
      <c r="B802" s="20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20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spans="1:31" ht="15.75" customHeight="1">
      <c r="A803" s="19"/>
      <c r="B803" s="20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20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spans="1:31" ht="15.75" customHeight="1">
      <c r="A804" s="19"/>
      <c r="B804" s="20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20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spans="1:31" ht="15.75" customHeight="1">
      <c r="A805" s="19"/>
      <c r="B805" s="20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20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spans="1:31" ht="15.75" customHeight="1">
      <c r="A806" s="19"/>
      <c r="B806" s="20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20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spans="1:31" ht="15.75" customHeight="1">
      <c r="A807" s="19"/>
      <c r="B807" s="20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20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spans="1:31" ht="15.75" customHeight="1">
      <c r="A808" s="19"/>
      <c r="B808" s="20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20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spans="1:31" ht="15.75" customHeight="1">
      <c r="A809" s="19"/>
      <c r="B809" s="20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20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spans="1:31" ht="15.75" customHeight="1">
      <c r="A810" s="19"/>
      <c r="B810" s="20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20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spans="1:31" ht="15.75" customHeight="1">
      <c r="A811" s="19"/>
      <c r="B811" s="20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20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spans="1:31" ht="15.75" customHeight="1">
      <c r="A812" s="19"/>
      <c r="B812" s="20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20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spans="1:31" ht="15.75" customHeight="1">
      <c r="A813" s="19"/>
      <c r="B813" s="20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20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spans="1:31" ht="15.75" customHeight="1">
      <c r="A814" s="19"/>
      <c r="B814" s="20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20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spans="1:31" ht="15.75" customHeight="1">
      <c r="A815" s="19"/>
      <c r="B815" s="20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20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spans="1:31" ht="15.75" customHeight="1">
      <c r="A816" s="19"/>
      <c r="B816" s="20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20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spans="1:31" ht="15.75" customHeight="1">
      <c r="A817" s="19"/>
      <c r="B817" s="20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20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spans="1:31" ht="15.75" customHeight="1">
      <c r="A818" s="19"/>
      <c r="B818" s="20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20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spans="1:31" ht="15.75" customHeight="1">
      <c r="A819" s="19"/>
      <c r="B819" s="20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20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spans="1:31" ht="15.75" customHeight="1">
      <c r="A820" s="19"/>
      <c r="B820" s="20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20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spans="1:31" ht="15.75" customHeight="1">
      <c r="A821" s="19"/>
      <c r="B821" s="20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20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spans="1:31" ht="15.75" customHeight="1">
      <c r="A822" s="19"/>
      <c r="B822" s="20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20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spans="1:31" ht="15.75" customHeight="1">
      <c r="A823" s="19"/>
      <c r="B823" s="20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20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spans="1:31" ht="15.75" customHeight="1">
      <c r="A824" s="19"/>
      <c r="B824" s="20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20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spans="1:31" ht="15.75" customHeight="1">
      <c r="A825" s="19"/>
      <c r="B825" s="20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20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spans="1:31" ht="15.75" customHeight="1">
      <c r="A826" s="19"/>
      <c r="B826" s="20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20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spans="1:31" ht="15.75" customHeight="1">
      <c r="A827" s="19"/>
      <c r="B827" s="20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20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spans="1:31" ht="15.75" customHeight="1">
      <c r="A828" s="19"/>
      <c r="B828" s="20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20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spans="1:31" ht="15.75" customHeight="1">
      <c r="A829" s="19"/>
      <c r="B829" s="20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20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spans="1:31" ht="15.75" customHeight="1">
      <c r="A830" s="19"/>
      <c r="B830" s="20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20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spans="1:31" ht="15.75" customHeight="1">
      <c r="A831" s="19"/>
      <c r="B831" s="20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20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spans="1:31" ht="15.75" customHeight="1">
      <c r="A832" s="19"/>
      <c r="B832" s="20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20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spans="1:31" ht="15.75" customHeight="1">
      <c r="A833" s="19"/>
      <c r="B833" s="20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20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spans="1:31" ht="15.75" customHeight="1">
      <c r="A834" s="19"/>
      <c r="B834" s="20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20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spans="1:31" ht="15.75" customHeight="1">
      <c r="A835" s="19"/>
      <c r="B835" s="20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20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spans="1:31" ht="15.75" customHeight="1">
      <c r="A836" s="19"/>
      <c r="B836" s="20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20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spans="1:31" ht="15.75" customHeight="1">
      <c r="A837" s="19"/>
      <c r="B837" s="20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20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spans="1:31" ht="15.75" customHeight="1">
      <c r="A838" s="19"/>
      <c r="B838" s="20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20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spans="1:31" ht="15.75" customHeight="1">
      <c r="A839" s="19"/>
      <c r="B839" s="20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20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spans="1:31" ht="15.75" customHeight="1">
      <c r="A840" s="19"/>
      <c r="B840" s="20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20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spans="1:31" ht="15.75" customHeight="1">
      <c r="A841" s="19"/>
      <c r="B841" s="20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20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spans="1:31" ht="15.75" customHeight="1">
      <c r="A842" s="19"/>
      <c r="B842" s="20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20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spans="1:31" ht="15.75" customHeight="1">
      <c r="A843" s="19"/>
      <c r="B843" s="20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20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spans="1:31" ht="15.75" customHeight="1">
      <c r="A844" s="19"/>
      <c r="B844" s="20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20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spans="1:31" ht="15.75" customHeight="1">
      <c r="A845" s="19"/>
      <c r="B845" s="20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20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spans="1:31" ht="15.75" customHeight="1">
      <c r="A846" s="19"/>
      <c r="B846" s="20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20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spans="1:31" ht="15.75" customHeight="1">
      <c r="A847" s="19"/>
      <c r="B847" s="20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20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spans="1:31" ht="15.75" customHeight="1">
      <c r="A848" s="19"/>
      <c r="B848" s="20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20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spans="1:31" ht="15.75" customHeight="1">
      <c r="A849" s="19"/>
      <c r="B849" s="20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20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spans="1:31" ht="15.75" customHeight="1">
      <c r="A850" s="19"/>
      <c r="B850" s="20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20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spans="1:31" ht="15.75" customHeight="1">
      <c r="A851" s="19"/>
      <c r="B851" s="20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20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spans="1:31" ht="15.75" customHeight="1">
      <c r="A852" s="19"/>
      <c r="B852" s="20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20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spans="1:31" ht="15.75" customHeight="1">
      <c r="A853" s="19"/>
      <c r="B853" s="20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20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spans="1:31" ht="15.75" customHeight="1">
      <c r="A854" s="19"/>
      <c r="B854" s="20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20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spans="1:31" ht="15.75" customHeight="1">
      <c r="A855" s="19"/>
      <c r="B855" s="20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20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spans="1:31" ht="15.75" customHeight="1">
      <c r="A856" s="19"/>
      <c r="B856" s="20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20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spans="1:31" ht="15.75" customHeight="1">
      <c r="A857" s="19"/>
      <c r="B857" s="20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20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spans="1:31" ht="15.75" customHeight="1">
      <c r="A858" s="19"/>
      <c r="B858" s="20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20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spans="1:31" ht="15.75" customHeight="1">
      <c r="A859" s="19"/>
      <c r="B859" s="20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20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spans="1:31" ht="15.75" customHeight="1">
      <c r="A860" s="19"/>
      <c r="B860" s="20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20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spans="1:31" ht="15.75" customHeight="1">
      <c r="A861" s="19"/>
      <c r="B861" s="20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20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spans="1:31" ht="15.75" customHeight="1">
      <c r="A862" s="19"/>
      <c r="B862" s="20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20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spans="1:31" ht="15.75" customHeight="1">
      <c r="A863" s="19"/>
      <c r="B863" s="20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20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spans="1:31" ht="15.75" customHeight="1">
      <c r="A864" s="19"/>
      <c r="B864" s="20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20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spans="1:31" ht="15.75" customHeight="1">
      <c r="A865" s="19"/>
      <c r="B865" s="20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20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spans="1:31" ht="15.75" customHeight="1">
      <c r="A866" s="19"/>
      <c r="B866" s="20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20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spans="1:31" ht="15.75" customHeight="1">
      <c r="A867" s="19"/>
      <c r="B867" s="20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20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spans="1:31" ht="15.75" customHeight="1">
      <c r="A868" s="19"/>
      <c r="B868" s="20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20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spans="1:31" ht="15.75" customHeight="1">
      <c r="A869" s="19"/>
      <c r="B869" s="20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20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spans="1:31" ht="15.75" customHeight="1">
      <c r="A870" s="19"/>
      <c r="B870" s="20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20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spans="1:31" ht="15.75" customHeight="1">
      <c r="A871" s="19"/>
      <c r="B871" s="20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20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spans="1:31" ht="15.75" customHeight="1">
      <c r="A872" s="19"/>
      <c r="B872" s="20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20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spans="1:31" ht="15.75" customHeight="1">
      <c r="A873" s="19"/>
      <c r="B873" s="20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20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spans="1:31" ht="15.75" customHeight="1">
      <c r="A874" s="19"/>
      <c r="B874" s="20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20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spans="1:31" ht="15.75" customHeight="1">
      <c r="A875" s="19"/>
      <c r="B875" s="20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20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spans="1:31" ht="15.75" customHeight="1">
      <c r="A876" s="19"/>
      <c r="B876" s="20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20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spans="1:31" ht="15.75" customHeight="1">
      <c r="A877" s="19"/>
      <c r="B877" s="20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20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spans="1:31" ht="15.75" customHeight="1">
      <c r="A878" s="19"/>
      <c r="B878" s="20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20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spans="1:31" ht="15.75" customHeight="1">
      <c r="A879" s="19"/>
      <c r="B879" s="20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20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spans="1:31" ht="15.75" customHeight="1">
      <c r="A880" s="19"/>
      <c r="B880" s="20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20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spans="1:31" ht="15.75" customHeight="1">
      <c r="A881" s="19"/>
      <c r="B881" s="20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20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spans="1:31" ht="15.75" customHeight="1">
      <c r="A882" s="19"/>
      <c r="B882" s="20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20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spans="1:31" ht="15.75" customHeight="1">
      <c r="A883" s="19"/>
      <c r="B883" s="20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20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spans="1:31" ht="15.75" customHeight="1">
      <c r="A884" s="19"/>
      <c r="B884" s="20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20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spans="1:31" ht="15.75" customHeight="1">
      <c r="A885" s="19"/>
      <c r="B885" s="20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20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spans="1:31" ht="15.75" customHeight="1">
      <c r="A886" s="19"/>
      <c r="B886" s="20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20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spans="1:31" ht="15.75" customHeight="1">
      <c r="A887" s="19"/>
      <c r="B887" s="20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20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spans="1:31" ht="15.75" customHeight="1">
      <c r="A888" s="19"/>
      <c r="B888" s="20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20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spans="1:31" ht="15.75" customHeight="1">
      <c r="A889" s="19"/>
      <c r="B889" s="20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20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spans="1:31" ht="15.75" customHeight="1">
      <c r="A890" s="19"/>
      <c r="B890" s="20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20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spans="1:31" ht="15.75" customHeight="1">
      <c r="A891" s="19"/>
      <c r="B891" s="20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20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spans="1:31" ht="15.75" customHeight="1">
      <c r="A892" s="19"/>
      <c r="B892" s="20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20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spans="1:31" ht="15.75" customHeight="1">
      <c r="A893" s="19"/>
      <c r="B893" s="20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20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spans="1:31" ht="15.75" customHeight="1">
      <c r="A894" s="19"/>
      <c r="B894" s="20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20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spans="1:31" ht="15.75" customHeight="1">
      <c r="A895" s="19"/>
      <c r="B895" s="20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20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spans="1:31" ht="15.75" customHeight="1">
      <c r="A896" s="19"/>
      <c r="B896" s="20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20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spans="1:31" ht="15.75" customHeight="1">
      <c r="A897" s="19"/>
      <c r="B897" s="20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20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spans="1:31" ht="15.75" customHeight="1">
      <c r="A898" s="19"/>
      <c r="B898" s="20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20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spans="1:31" ht="15.75" customHeight="1">
      <c r="A899" s="19"/>
      <c r="B899" s="20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20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spans="1:31" ht="15.75" customHeight="1">
      <c r="A900" s="19"/>
      <c r="B900" s="20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20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spans="1:31" ht="15.75" customHeight="1">
      <c r="A901" s="19"/>
      <c r="B901" s="20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20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spans="1:31" ht="15.75" customHeight="1">
      <c r="A902" s="19"/>
      <c r="B902" s="20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20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spans="1:31" ht="15.75" customHeight="1">
      <c r="A903" s="19"/>
      <c r="B903" s="20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20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spans="1:31" ht="15.75" customHeight="1">
      <c r="A904" s="19"/>
      <c r="B904" s="20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20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spans="1:31" ht="15.75" customHeight="1">
      <c r="A905" s="19"/>
      <c r="B905" s="20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20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spans="1:31" ht="15.75" customHeight="1">
      <c r="A906" s="19"/>
      <c r="B906" s="20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20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spans="1:31" ht="15.75" customHeight="1">
      <c r="A907" s="19"/>
      <c r="B907" s="20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20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spans="1:31" ht="15.75" customHeight="1">
      <c r="A908" s="19"/>
      <c r="B908" s="20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20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spans="1:31" ht="15.75" customHeight="1">
      <c r="A909" s="19"/>
      <c r="B909" s="20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20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spans="1:31" ht="15.75" customHeight="1">
      <c r="A910" s="19"/>
      <c r="B910" s="20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20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spans="1:31" ht="15.75" customHeight="1">
      <c r="A911" s="19"/>
      <c r="B911" s="20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20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spans="1:31" ht="15.75" customHeight="1">
      <c r="A912" s="19"/>
      <c r="B912" s="20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20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spans="1:31" ht="15.75" customHeight="1">
      <c r="A913" s="19"/>
      <c r="B913" s="20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20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spans="1:31" ht="15.75" customHeight="1">
      <c r="A914" s="19"/>
      <c r="B914" s="20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20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spans="1:31" ht="15.75" customHeight="1">
      <c r="A915" s="19"/>
      <c r="B915" s="20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20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spans="1:31" ht="15.75" customHeight="1">
      <c r="A916" s="19"/>
      <c r="B916" s="20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20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spans="1:31" ht="15.75" customHeight="1">
      <c r="A917" s="19"/>
      <c r="B917" s="20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20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spans="1:31" ht="15.75" customHeight="1">
      <c r="A918" s="19"/>
      <c r="B918" s="20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20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spans="1:31" ht="15.75" customHeight="1">
      <c r="A919" s="19"/>
      <c r="B919" s="20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20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spans="1:31" ht="15.75" customHeight="1">
      <c r="A920" s="19"/>
      <c r="B920" s="20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20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spans="1:31" ht="15.75" customHeight="1">
      <c r="A921" s="19"/>
      <c r="B921" s="20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20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spans="1:31" ht="15.75" customHeight="1">
      <c r="A922" s="19"/>
      <c r="B922" s="20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20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spans="1:31" ht="15.75" customHeight="1">
      <c r="A923" s="19"/>
      <c r="B923" s="20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20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spans="1:31" ht="15.75" customHeight="1">
      <c r="A924" s="19"/>
      <c r="B924" s="20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20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spans="1:31" ht="15.75" customHeight="1">
      <c r="A925" s="19"/>
      <c r="B925" s="20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20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spans="1:31" ht="15.75" customHeight="1">
      <c r="A926" s="19"/>
      <c r="B926" s="20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20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spans="1:31" ht="15.75" customHeight="1">
      <c r="A927" s="19"/>
      <c r="B927" s="20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20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spans="1:31" ht="15.75" customHeight="1">
      <c r="A928" s="19"/>
      <c r="B928" s="20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20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spans="1:31" ht="15.75" customHeight="1">
      <c r="A929" s="19"/>
      <c r="B929" s="20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20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spans="1:31" ht="15.75" customHeight="1">
      <c r="A930" s="19"/>
      <c r="B930" s="20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20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spans="1:31" ht="15.75" customHeight="1">
      <c r="A931" s="19"/>
      <c r="B931" s="20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20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spans="1:31" ht="15.75" customHeight="1">
      <c r="A932" s="19"/>
      <c r="B932" s="20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20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spans="1:31" ht="15.75" customHeight="1">
      <c r="A933" s="19"/>
      <c r="B933" s="20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20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spans="1:31" ht="15.75" customHeight="1">
      <c r="A934" s="19"/>
      <c r="B934" s="20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20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spans="1:31" ht="15.75" customHeight="1">
      <c r="A935" s="19"/>
      <c r="B935" s="20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20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spans="1:31" ht="15.75" customHeight="1">
      <c r="A936" s="19"/>
      <c r="B936" s="20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20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spans="1:31" ht="15.75" customHeight="1">
      <c r="A937" s="19"/>
      <c r="B937" s="20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20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spans="1:31" ht="15.75" customHeight="1">
      <c r="A938" s="19"/>
      <c r="B938" s="20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20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spans="1:31" ht="15.75" customHeight="1">
      <c r="A939" s="19"/>
      <c r="B939" s="20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20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spans="1:31" ht="15.75" customHeight="1">
      <c r="A940" s="19"/>
      <c r="B940" s="20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20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spans="1:31" ht="15.75" customHeight="1">
      <c r="A941" s="19"/>
      <c r="B941" s="20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20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spans="1:31" ht="15.75" customHeight="1">
      <c r="A942" s="19"/>
      <c r="B942" s="20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20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spans="1:31" ht="15.75" customHeight="1">
      <c r="A943" s="19"/>
      <c r="B943" s="20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20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spans="1:31" ht="15.75" customHeight="1">
      <c r="A944" s="19"/>
      <c r="B944" s="20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20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spans="1:31" ht="15.75" customHeight="1">
      <c r="A945" s="19"/>
      <c r="B945" s="20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20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spans="1:31" ht="15.75" customHeight="1">
      <c r="A946" s="19"/>
      <c r="B946" s="20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20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spans="1:31" ht="15.75" customHeight="1">
      <c r="A947" s="19"/>
      <c r="B947" s="20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20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spans="1:31" ht="15.75" customHeight="1">
      <c r="A948" s="19"/>
      <c r="B948" s="20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20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spans="1:31" ht="15.75" customHeight="1">
      <c r="A949" s="19"/>
      <c r="B949" s="20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20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spans="1:31" ht="15.75" customHeight="1">
      <c r="A950" s="19"/>
      <c r="B950" s="20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20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spans="1:31" ht="15.75" customHeight="1">
      <c r="A951" s="19"/>
      <c r="B951" s="20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20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spans="1:31" ht="15.75" customHeight="1">
      <c r="A952" s="19"/>
      <c r="B952" s="20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20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spans="1:31" ht="15.75" customHeight="1">
      <c r="A953" s="19"/>
      <c r="B953" s="20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20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spans="1:31" ht="15.75" customHeight="1">
      <c r="A954" s="19"/>
      <c r="B954" s="20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20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spans="1:31" ht="15.75" customHeight="1">
      <c r="A955" s="19"/>
      <c r="B955" s="20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20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spans="1:31" ht="15.75" customHeight="1">
      <c r="A956" s="19"/>
      <c r="B956" s="20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20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spans="1:31" ht="15.75" customHeight="1">
      <c r="A957" s="19"/>
      <c r="B957" s="20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20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spans="1:31" ht="15.75" customHeight="1">
      <c r="A958" s="19"/>
      <c r="B958" s="20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20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spans="1:31" ht="15.75" customHeight="1">
      <c r="A959" s="19"/>
      <c r="B959" s="20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20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spans="1:31" ht="15.75" customHeight="1">
      <c r="A960" s="19"/>
      <c r="B960" s="20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20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spans="1:31" ht="15.75" customHeight="1">
      <c r="A961" s="19"/>
      <c r="B961" s="20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20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spans="1:31" ht="15.75" customHeight="1">
      <c r="A962" s="19"/>
      <c r="B962" s="20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20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spans="1:31" ht="15.75" customHeight="1">
      <c r="A963" s="19"/>
      <c r="B963" s="20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20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spans="1:31" ht="15.75" customHeight="1">
      <c r="A964" s="19"/>
      <c r="B964" s="20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20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spans="1:31" ht="15.75" customHeight="1">
      <c r="A965" s="19"/>
      <c r="B965" s="20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20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spans="1:31" ht="15.75" customHeight="1">
      <c r="A966" s="19"/>
      <c r="B966" s="20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20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spans="1:31" ht="15.75" customHeight="1">
      <c r="A967" s="19"/>
      <c r="B967" s="20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20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spans="1:31" ht="15.75" customHeight="1">
      <c r="A968" s="19"/>
      <c r="B968" s="20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20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spans="1:31" ht="15.75" customHeight="1">
      <c r="A969" s="19"/>
      <c r="B969" s="20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20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spans="1:31" ht="15.75" customHeight="1">
      <c r="A970" s="19"/>
      <c r="B970" s="20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20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spans="1:31" ht="15.75" customHeight="1">
      <c r="A971" s="19"/>
      <c r="B971" s="20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20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spans="1:31" ht="15.75" customHeight="1">
      <c r="A972" s="19"/>
      <c r="B972" s="20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20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spans="1:31" ht="15.75" customHeight="1">
      <c r="A973" s="19"/>
      <c r="B973" s="20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20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spans="1:31" ht="15.75" customHeight="1">
      <c r="A974" s="19"/>
      <c r="B974" s="20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20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spans="1:31" ht="15.75" customHeight="1">
      <c r="A975" s="19"/>
      <c r="B975" s="20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20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spans="1:31" ht="15.75" customHeight="1">
      <c r="A976" s="19"/>
      <c r="B976" s="20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20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spans="1:31" ht="15.75" customHeight="1">
      <c r="A977" s="19"/>
      <c r="B977" s="20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20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spans="1:31" ht="15.75" customHeight="1">
      <c r="A978" s="19"/>
      <c r="B978" s="20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20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spans="1:31" ht="15.75" customHeight="1">
      <c r="A979" s="19"/>
      <c r="B979" s="20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20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spans="1:31" ht="15.75" customHeight="1">
      <c r="A980" s="19"/>
      <c r="B980" s="20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20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spans="1:31" ht="15.75" customHeight="1">
      <c r="A981" s="19"/>
      <c r="B981" s="20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20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spans="1:31" ht="15.75" customHeight="1">
      <c r="A982" s="19"/>
      <c r="B982" s="20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20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spans="1:31" ht="15.75" customHeight="1">
      <c r="A983" s="19"/>
      <c r="B983" s="20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20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spans="1:31" ht="15.75" customHeight="1">
      <c r="A984" s="19"/>
      <c r="B984" s="20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20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spans="1:31" ht="15.75" customHeight="1">
      <c r="A985" s="19"/>
      <c r="B985" s="20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20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spans="1:31" ht="15.75" customHeight="1">
      <c r="A986" s="19"/>
      <c r="B986" s="20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20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spans="1:31" ht="15.75" customHeight="1">
      <c r="A987" s="19"/>
      <c r="B987" s="20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20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spans="1:31" ht="15.75" customHeight="1">
      <c r="A988" s="19"/>
      <c r="B988" s="20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20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spans="1:31" ht="15.75" customHeight="1">
      <c r="A989" s="19"/>
      <c r="B989" s="20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20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spans="1:31" ht="15.75" customHeight="1">
      <c r="A990" s="19"/>
      <c r="B990" s="20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20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spans="1:31" ht="15.75" customHeight="1">
      <c r="A991" s="19"/>
      <c r="B991" s="20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20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spans="1:31" ht="15.75" customHeight="1">
      <c r="A992" s="19"/>
      <c r="B992" s="20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20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spans="1:31" ht="15.75" customHeight="1">
      <c r="A993" s="19"/>
      <c r="B993" s="20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20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spans="1:31" ht="15.75" customHeight="1">
      <c r="A994" s="19"/>
      <c r="B994" s="20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20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spans="1:31" ht="15.75" customHeight="1">
      <c r="A995" s="19"/>
      <c r="B995" s="20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20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spans="1:31" ht="15.75" customHeight="1">
      <c r="A996" s="19"/>
      <c r="B996" s="20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spans="1:31" ht="15.75" customHeight="1">
      <c r="A997" s="19"/>
      <c r="B997" s="20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20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spans="1:31" ht="15.75" customHeight="1">
      <c r="A998" s="19"/>
      <c r="B998" s="20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20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spans="1:31" ht="15.75" customHeight="1">
      <c r="A999" s="19"/>
      <c r="B999" s="20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20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spans="1:31" ht="15.75" customHeight="1">
      <c r="A1000" s="19"/>
      <c r="B1000" s="20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  <row r="1001" spans="1:31" ht="15.75" customHeight="1">
      <c r="A1001" s="19"/>
      <c r="B1001" s="20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20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</row>
    <row r="1002" spans="1:31" ht="15.75" customHeight="1">
      <c r="A1002" s="19"/>
      <c r="B1002" s="20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20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</row>
  </sheetData>
  <mergeCells count="3">
    <mergeCell ref="A6:L6"/>
    <mergeCell ref="B10:L10"/>
    <mergeCell ref="B11:L11"/>
  </mergeCells>
  <conditionalFormatting sqref="M15:M20 M22:M352">
    <cfRule type="containsText" dxfId="0" priority="1" operator="containsText" text="INCOMPLETE">
      <formula>NOT(ISERROR(SEARCH(("INCOMPLETE"),(M15))))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ErrorMessage="1">
          <x14:formula1>
            <xm:f>'Drop-down'!$E$5:$E$11</xm:f>
          </x14:formula1>
          <xm:sqref>I15:I352</xm:sqref>
        </x14:dataValidation>
        <x14:dataValidation type="list" allowBlank="1" showErrorMessage="1">
          <x14:formula1>
            <xm:f>'Drop-down'!$A$5:$A$12</xm:f>
          </x14:formula1>
          <xm:sqref>B15:B352</xm:sqref>
        </x14:dataValidation>
        <x14:dataValidation type="list" allowBlank="1" showErrorMessage="1">
          <x14:formula1>
            <xm:f>'Drop-down'!$B$17:$B$24</xm:f>
          </x14:formula1>
          <xm:sqref>H15:H352</xm:sqref>
        </x14:dataValidation>
        <x14:dataValidation type="list" allowBlank="1" showErrorMessage="1">
          <x14:formula1>
            <xm:f>'Drop-down'!$E$17:$E$18</xm:f>
          </x14:formula1>
          <xm:sqref>E15:E352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9.88671875" customWidth="1"/>
    <col min="2" max="26" width="11.109375" customWidth="1"/>
  </cols>
  <sheetData>
    <row r="1" spans="1:2" ht="15.75" customHeight="1">
      <c r="A1" s="21" t="s">
        <v>7</v>
      </c>
      <c r="B1" s="22" t="s">
        <v>38</v>
      </c>
    </row>
    <row r="2" spans="1:2" ht="15.75" customHeight="1">
      <c r="A2" s="23">
        <v>44928</v>
      </c>
      <c r="B2" s="24">
        <v>8.7719999999999996E-4</v>
      </c>
    </row>
    <row r="3" spans="1:2" ht="15.75" customHeight="1">
      <c r="A3" s="23">
        <v>44929</v>
      </c>
      <c r="B3" s="24">
        <v>8.8639999999999997E-4</v>
      </c>
    </row>
    <row r="4" spans="1:2" ht="15.75" customHeight="1">
      <c r="A4" s="23">
        <v>44930</v>
      </c>
      <c r="B4" s="24">
        <v>8.8119999999999995E-4</v>
      </c>
    </row>
    <row r="5" spans="1:2" ht="15.75" customHeight="1">
      <c r="A5" s="23">
        <v>44931</v>
      </c>
      <c r="B5" s="24">
        <v>8.8820000000000001E-4</v>
      </c>
    </row>
    <row r="6" spans="1:2" ht="15.75" customHeight="1">
      <c r="A6" s="23">
        <v>44932</v>
      </c>
      <c r="B6" s="24">
        <v>8.7480000000000001E-4</v>
      </c>
    </row>
    <row r="7" spans="1:2" ht="15.75" customHeight="1">
      <c r="A7" s="23">
        <v>44935</v>
      </c>
      <c r="B7" s="24">
        <v>8.696E-4</v>
      </c>
    </row>
    <row r="8" spans="1:2" ht="15.75" customHeight="1">
      <c r="A8" s="23">
        <v>44936</v>
      </c>
      <c r="B8" s="24">
        <v>8.6810000000000001E-4</v>
      </c>
    </row>
    <row r="9" spans="1:2" ht="15.75" customHeight="1">
      <c r="A9" s="23">
        <v>44937</v>
      </c>
      <c r="B9" s="24">
        <v>8.6600000000000002E-4</v>
      </c>
    </row>
    <row r="10" spans="1:2" ht="15.75" customHeight="1">
      <c r="A10" s="23">
        <v>44938</v>
      </c>
      <c r="B10" s="24">
        <v>8.5879999999999995E-4</v>
      </c>
    </row>
    <row r="11" spans="1:2" ht="15.75" customHeight="1">
      <c r="A11" s="23">
        <v>44939</v>
      </c>
      <c r="B11" s="24">
        <v>8.5760000000000003E-4</v>
      </c>
    </row>
    <row r="12" spans="1:2" ht="15.75" customHeight="1">
      <c r="A12" s="23">
        <v>44942</v>
      </c>
      <c r="B12" s="24">
        <v>8.631E-4</v>
      </c>
    </row>
    <row r="13" spans="1:2" ht="15.75" customHeight="1">
      <c r="A13" s="23">
        <v>44943</v>
      </c>
      <c r="B13" s="24">
        <v>8.6249999999999999E-4</v>
      </c>
    </row>
    <row r="14" spans="1:2" ht="15.75" customHeight="1">
      <c r="A14" s="23">
        <v>44944</v>
      </c>
      <c r="B14" s="24">
        <v>8.6260000000000004E-4</v>
      </c>
    </row>
    <row r="15" spans="1:2" ht="15.75" customHeight="1">
      <c r="A15" s="23">
        <v>44945</v>
      </c>
      <c r="B15" s="24">
        <v>8.5840000000000005E-4</v>
      </c>
    </row>
    <row r="16" spans="1:2" ht="15.75" customHeight="1">
      <c r="A16" s="23">
        <v>44946</v>
      </c>
      <c r="B16" s="24">
        <v>8.5669999999999995E-4</v>
      </c>
    </row>
    <row r="17" spans="1:2" ht="15.75" customHeight="1">
      <c r="A17" s="23">
        <v>44949</v>
      </c>
      <c r="B17" s="24">
        <v>8.5300000000000003E-4</v>
      </c>
    </row>
    <row r="18" spans="1:2" ht="15.75" customHeight="1">
      <c r="A18" s="23">
        <v>44950</v>
      </c>
      <c r="B18" s="24">
        <v>8.5240000000000001E-4</v>
      </c>
    </row>
    <row r="19" spans="1:2" ht="15.75" customHeight="1">
      <c r="A19" s="23">
        <v>44951</v>
      </c>
      <c r="B19" s="24">
        <v>8.4880000000000003E-4</v>
      </c>
    </row>
    <row r="20" spans="1:2" ht="15.75" customHeight="1">
      <c r="A20" s="23">
        <v>44952</v>
      </c>
      <c r="B20" s="24">
        <v>8.4909999999999998E-4</v>
      </c>
    </row>
    <row r="21" spans="1:2" ht="15.75" customHeight="1">
      <c r="A21" s="23">
        <v>44953</v>
      </c>
      <c r="B21" s="24">
        <v>8.499E-4</v>
      </c>
    </row>
    <row r="22" spans="1:2" ht="15.75" customHeight="1">
      <c r="A22" s="23">
        <v>44956</v>
      </c>
      <c r="B22" s="24">
        <v>8.5249999999999996E-4</v>
      </c>
    </row>
    <row r="23" spans="1:2" ht="15.75" customHeight="1">
      <c r="A23" s="23">
        <v>44957</v>
      </c>
      <c r="B23" s="24">
        <v>8.52E-4</v>
      </c>
    </row>
    <row r="24" spans="1:2" ht="15.75" customHeight="1">
      <c r="A24" s="23">
        <v>44958</v>
      </c>
      <c r="B24" s="24">
        <v>8.4150000000000002E-4</v>
      </c>
    </row>
    <row r="25" spans="1:2" ht="15.75" customHeight="1">
      <c r="A25" s="23">
        <v>44959</v>
      </c>
      <c r="B25" s="24">
        <v>8.4179999999999997E-4</v>
      </c>
    </row>
    <row r="26" spans="1:2" ht="15.75" customHeight="1">
      <c r="A26" s="23">
        <v>44960</v>
      </c>
      <c r="B26" s="24">
        <v>8.5490000000000002E-4</v>
      </c>
    </row>
    <row r="27" spans="1:2" ht="15.75" customHeight="1">
      <c r="A27" s="23">
        <v>44963</v>
      </c>
      <c r="B27" s="24">
        <v>8.5789999999999998E-4</v>
      </c>
    </row>
    <row r="28" spans="1:2" ht="15.75" customHeight="1">
      <c r="A28" s="23">
        <v>44964</v>
      </c>
      <c r="B28" s="24">
        <v>8.6089999999999995E-4</v>
      </c>
    </row>
    <row r="29" spans="1:2" ht="15.75" customHeight="1">
      <c r="A29" s="23">
        <v>44965</v>
      </c>
      <c r="B29" s="24">
        <v>8.6319999999999995E-4</v>
      </c>
    </row>
    <row r="30" spans="1:2" ht="15.75" customHeight="1">
      <c r="A30" s="23">
        <v>44966</v>
      </c>
      <c r="B30" s="24">
        <v>8.61E-4</v>
      </c>
    </row>
    <row r="31" spans="1:2" ht="15.75" customHeight="1">
      <c r="A31" s="23">
        <v>44967</v>
      </c>
      <c r="B31" s="24">
        <v>8.6109999999999995E-4</v>
      </c>
    </row>
    <row r="32" spans="1:2" ht="15.75" customHeight="1">
      <c r="A32" s="23">
        <v>44970</v>
      </c>
      <c r="B32" s="24">
        <v>8.5910000000000001E-4</v>
      </c>
    </row>
    <row r="33" spans="1:2" ht="15.75" customHeight="1">
      <c r="A33" s="23">
        <v>44971</v>
      </c>
      <c r="B33" s="24">
        <v>8.5740000000000002E-4</v>
      </c>
    </row>
    <row r="34" spans="1:2" ht="15.75" customHeight="1">
      <c r="A34" s="23">
        <v>44972</v>
      </c>
      <c r="B34" s="24">
        <v>8.5950000000000002E-4</v>
      </c>
    </row>
    <row r="35" spans="1:2" ht="15.75" customHeight="1">
      <c r="A35" s="23">
        <v>44973</v>
      </c>
      <c r="B35" s="24">
        <v>8.6339999999999995E-4</v>
      </c>
    </row>
    <row r="36" spans="1:2" ht="15.75" customHeight="1">
      <c r="A36" s="23">
        <v>44974</v>
      </c>
      <c r="B36" s="24">
        <v>8.5649999999999995E-4</v>
      </c>
    </row>
    <row r="37" spans="1:2" ht="15.75" customHeight="1">
      <c r="A37" s="23">
        <v>44977</v>
      </c>
      <c r="B37" s="24">
        <v>8.6039999999999999E-4</v>
      </c>
    </row>
    <row r="38" spans="1:2" ht="15.75" customHeight="1">
      <c r="A38" s="23">
        <v>44978</v>
      </c>
      <c r="B38" s="24">
        <v>8.6269999999999999E-4</v>
      </c>
    </row>
    <row r="39" spans="1:2" ht="15.75" customHeight="1">
      <c r="A39" s="23">
        <v>44979</v>
      </c>
      <c r="B39" s="24">
        <v>8.6700000000000004E-4</v>
      </c>
    </row>
    <row r="40" spans="1:2" ht="15.75" customHeight="1">
      <c r="A40" s="23">
        <v>44980</v>
      </c>
      <c r="B40" s="24">
        <v>8.6729999999999999E-4</v>
      </c>
    </row>
    <row r="41" spans="1:2" ht="15.75" customHeight="1">
      <c r="A41" s="23">
        <v>44981</v>
      </c>
      <c r="B41" s="24">
        <v>8.6850000000000002E-4</v>
      </c>
    </row>
    <row r="42" spans="1:2" ht="15.75" customHeight="1">
      <c r="A42" s="23">
        <v>44984</v>
      </c>
      <c r="B42" s="24">
        <v>8.6479999999999999E-4</v>
      </c>
    </row>
    <row r="43" spans="1:2" ht="15.75" customHeight="1">
      <c r="A43" s="23">
        <v>44985</v>
      </c>
      <c r="B43" s="24">
        <v>8.6759999999999995E-4</v>
      </c>
    </row>
    <row r="44" spans="1:2" ht="15.75" customHeight="1">
      <c r="A44" s="23">
        <v>44986</v>
      </c>
      <c r="B44" s="24">
        <v>8.5919999999999996E-4</v>
      </c>
    </row>
    <row r="45" spans="1:2" ht="15.75" customHeight="1">
      <c r="A45" s="23">
        <v>44987</v>
      </c>
      <c r="B45" s="24">
        <v>8.6379999999999996E-4</v>
      </c>
    </row>
    <row r="46" spans="1:2" ht="15.75" customHeight="1">
      <c r="A46" s="23">
        <v>44988</v>
      </c>
      <c r="B46" s="24">
        <v>8.6019999999999998E-4</v>
      </c>
    </row>
    <row r="47" spans="1:2" ht="15.75" customHeight="1">
      <c r="A47" s="23">
        <v>44991</v>
      </c>
      <c r="B47" s="24">
        <v>8.5879999999999995E-4</v>
      </c>
    </row>
    <row r="48" spans="1:2" ht="15.75" customHeight="1">
      <c r="A48" s="23">
        <v>44992</v>
      </c>
      <c r="B48" s="24">
        <v>8.6910000000000004E-4</v>
      </c>
    </row>
    <row r="49" spans="1:2" ht="15.75" customHeight="1">
      <c r="A49" s="23">
        <v>44993</v>
      </c>
      <c r="B49" s="24">
        <v>8.6870000000000003E-4</v>
      </c>
    </row>
    <row r="50" spans="1:2" ht="15.75" customHeight="1">
      <c r="A50" s="23">
        <v>44994</v>
      </c>
      <c r="B50" s="24">
        <v>8.6510000000000005E-4</v>
      </c>
    </row>
    <row r="51" spans="1:2" ht="15.75" customHeight="1">
      <c r="A51" s="23">
        <v>44995</v>
      </c>
      <c r="B51" s="24">
        <v>8.6359999999999996E-4</v>
      </c>
    </row>
    <row r="52" spans="1:2" ht="15.75" customHeight="1">
      <c r="A52" s="23">
        <v>44998</v>
      </c>
      <c r="B52" s="24">
        <v>8.5329999999999998E-4</v>
      </c>
    </row>
    <row r="53" spans="1:2" ht="15.75" customHeight="1">
      <c r="A53" s="23">
        <v>44999</v>
      </c>
      <c r="B53" s="24">
        <v>8.5209999999999995E-4</v>
      </c>
    </row>
    <row r="54" spans="1:2" ht="15.75" customHeight="1">
      <c r="A54" s="23">
        <v>45000</v>
      </c>
      <c r="B54" s="24">
        <v>8.6350000000000001E-4</v>
      </c>
    </row>
    <row r="55" spans="1:2" ht="15.75" customHeight="1">
      <c r="A55" s="23">
        <v>45001</v>
      </c>
      <c r="B55" s="24">
        <v>8.6109999999999995E-4</v>
      </c>
    </row>
    <row r="56" spans="1:2" ht="15.75" customHeight="1">
      <c r="A56" s="23">
        <v>45002</v>
      </c>
      <c r="B56" s="24">
        <v>8.5360000000000004E-4</v>
      </c>
    </row>
    <row r="57" spans="1:2" ht="15.75" customHeight="1">
      <c r="A57" s="23">
        <v>45005</v>
      </c>
      <c r="B57" s="24">
        <v>8.5340000000000004E-4</v>
      </c>
    </row>
    <row r="58" spans="1:2" ht="15.75" customHeight="1">
      <c r="A58" s="23">
        <v>45006</v>
      </c>
      <c r="B58" s="24">
        <v>8.474E-4</v>
      </c>
    </row>
    <row r="59" spans="1:2" ht="15.75" customHeight="1">
      <c r="A59" s="23">
        <v>45007</v>
      </c>
      <c r="B59" s="24">
        <v>8.4009999999999998E-4</v>
      </c>
    </row>
    <row r="60" spans="1:2" ht="15.75" customHeight="1">
      <c r="A60" s="23">
        <v>45008</v>
      </c>
      <c r="B60" s="24">
        <v>8.4139999999999996E-4</v>
      </c>
    </row>
    <row r="61" spans="1:2" ht="15.75" customHeight="1">
      <c r="A61" s="23">
        <v>45009</v>
      </c>
      <c r="B61" s="24">
        <v>8.4559999999999995E-4</v>
      </c>
    </row>
    <row r="62" spans="1:2" ht="15.75" customHeight="1">
      <c r="A62" s="23">
        <v>45012</v>
      </c>
      <c r="B62" s="24">
        <v>8.4279999999999999E-4</v>
      </c>
    </row>
    <row r="63" spans="1:2" ht="15.75" customHeight="1">
      <c r="A63" s="23">
        <v>45013</v>
      </c>
      <c r="B63" s="24">
        <v>8.2930000000000005E-4</v>
      </c>
    </row>
    <row r="64" spans="1:2" ht="15.75" customHeight="1">
      <c r="A64" s="23">
        <v>45014</v>
      </c>
      <c r="B64" s="24">
        <v>8.3779999999999998E-4</v>
      </c>
    </row>
    <row r="65" spans="1:2" ht="15.75" customHeight="1">
      <c r="A65" s="23">
        <v>45015</v>
      </c>
      <c r="B65" s="24">
        <v>8.3290000000000002E-4</v>
      </c>
    </row>
    <row r="66" spans="1:2" ht="15.75" customHeight="1">
      <c r="A66" s="23">
        <v>45016</v>
      </c>
      <c r="B66" s="24">
        <v>8.3000000000000001E-4</v>
      </c>
    </row>
    <row r="67" spans="1:2" ht="15.75" customHeight="1">
      <c r="A67" s="23">
        <v>45019</v>
      </c>
      <c r="B67" s="24">
        <v>8.2140000000000002E-4</v>
      </c>
    </row>
    <row r="68" spans="1:2" ht="15.75" customHeight="1">
      <c r="A68" s="23">
        <v>45020</v>
      </c>
      <c r="B68" s="24">
        <v>8.2640000000000003E-4</v>
      </c>
    </row>
    <row r="69" spans="1:2" ht="15.75" customHeight="1">
      <c r="A69" s="23">
        <v>45021</v>
      </c>
      <c r="B69" s="24">
        <v>8.298E-4</v>
      </c>
    </row>
    <row r="70" spans="1:2" ht="15.75" customHeight="1">
      <c r="A70" s="23">
        <v>45022</v>
      </c>
      <c r="B70" s="24">
        <v>8.3080000000000003E-4</v>
      </c>
    </row>
    <row r="71" spans="1:2" ht="15.75" customHeight="1">
      <c r="A71" s="23">
        <v>45023</v>
      </c>
      <c r="B71" s="24">
        <v>8.2879999999999998E-4</v>
      </c>
    </row>
    <row r="72" spans="1:2" ht="15.75" customHeight="1">
      <c r="A72" s="23">
        <v>45026</v>
      </c>
      <c r="B72" s="24">
        <v>8.3239999999999996E-4</v>
      </c>
    </row>
    <row r="73" spans="1:2" ht="15.75" customHeight="1">
      <c r="A73" s="23">
        <v>45027</v>
      </c>
      <c r="B73" s="24">
        <v>8.2879999999999998E-4</v>
      </c>
    </row>
    <row r="74" spans="1:2" ht="15.75" customHeight="1">
      <c r="A74" s="23">
        <v>45028</v>
      </c>
      <c r="B74" s="24">
        <v>8.2330000000000001E-4</v>
      </c>
    </row>
    <row r="75" spans="1:2" ht="15.75" customHeight="1">
      <c r="A75" s="23">
        <v>45029</v>
      </c>
      <c r="B75" s="24">
        <v>8.1899999999999996E-4</v>
      </c>
    </row>
    <row r="76" spans="1:2" ht="15.75" customHeight="1">
      <c r="A76" s="23">
        <v>45030</v>
      </c>
      <c r="B76" s="24">
        <v>8.1059999999999997E-4</v>
      </c>
    </row>
    <row r="77" spans="1:2" ht="15.75" customHeight="1">
      <c r="A77" s="23">
        <v>45033</v>
      </c>
      <c r="B77" s="24">
        <v>8.2379999999999997E-4</v>
      </c>
    </row>
    <row r="78" spans="1:2" ht="15.75" customHeight="1">
      <c r="A78" s="23">
        <v>45034</v>
      </c>
      <c r="B78" s="24">
        <v>8.2120000000000001E-4</v>
      </c>
    </row>
    <row r="79" spans="1:2" ht="15.75" customHeight="1">
      <c r="A79" s="23">
        <v>45035</v>
      </c>
      <c r="B79" s="24">
        <v>8.2209999999999998E-4</v>
      </c>
    </row>
    <row r="80" spans="1:2" ht="15.75" customHeight="1">
      <c r="A80" s="23">
        <v>45036</v>
      </c>
      <c r="B80" s="24">
        <v>8.206E-4</v>
      </c>
    </row>
    <row r="81" spans="1:2" ht="15.75" customHeight="1">
      <c r="A81" s="23">
        <v>45037</v>
      </c>
      <c r="B81" s="24">
        <v>8.097E-4</v>
      </c>
    </row>
    <row r="82" spans="1:2" ht="15.75" customHeight="1">
      <c r="A82" s="23">
        <v>45040</v>
      </c>
      <c r="B82" s="24">
        <v>7.9779999999999998E-4</v>
      </c>
    </row>
    <row r="83" spans="1:2" ht="15.75" customHeight="1">
      <c r="A83" s="23">
        <v>45041</v>
      </c>
      <c r="B83" s="24">
        <v>8.1919999999999996E-4</v>
      </c>
    </row>
    <row r="84" spans="1:2" ht="15.75" customHeight="1">
      <c r="A84" s="23">
        <v>45042</v>
      </c>
      <c r="B84" s="24">
        <v>8.141E-4</v>
      </c>
    </row>
    <row r="85" spans="1:2" ht="15.75" customHeight="1">
      <c r="A85" s="23">
        <v>45043</v>
      </c>
      <c r="B85" s="24">
        <v>8.1519999999999997E-4</v>
      </c>
    </row>
    <row r="86" spans="1:2" ht="15.75" customHeight="1">
      <c r="A86" s="23">
        <v>45044</v>
      </c>
      <c r="B86" s="24">
        <v>8.0550000000000001E-4</v>
      </c>
    </row>
    <row r="87" spans="1:2" ht="15.75" customHeight="1">
      <c r="A87" s="23">
        <v>45047</v>
      </c>
      <c r="B87" s="24">
        <v>8.1419999999999995E-4</v>
      </c>
    </row>
    <row r="88" spans="1:2" ht="15.75" customHeight="1">
      <c r="A88" s="23">
        <v>45048</v>
      </c>
      <c r="B88" s="24">
        <v>8.1629999999999995E-4</v>
      </c>
    </row>
    <row r="89" spans="1:2" ht="15.75" customHeight="1">
      <c r="A89" s="23">
        <v>45049</v>
      </c>
      <c r="B89" s="24">
        <v>8.1010000000000001E-4</v>
      </c>
    </row>
    <row r="90" spans="1:2" ht="15.75" customHeight="1">
      <c r="A90" s="23">
        <v>45050</v>
      </c>
      <c r="B90" s="24">
        <v>8.1269999999999997E-4</v>
      </c>
    </row>
    <row r="91" spans="1:2" ht="15.75" customHeight="1">
      <c r="A91" s="23">
        <v>45051</v>
      </c>
      <c r="B91" s="24">
        <v>8.0369999999999997E-4</v>
      </c>
    </row>
    <row r="92" spans="1:2" ht="15.75" customHeight="1">
      <c r="A92" s="23">
        <v>45054</v>
      </c>
      <c r="B92" s="24">
        <v>8.1380000000000005E-4</v>
      </c>
    </row>
    <row r="93" spans="1:2" ht="15.75" customHeight="1">
      <c r="A93" s="23">
        <v>45055</v>
      </c>
      <c r="B93" s="24">
        <v>8.1459999999999996E-4</v>
      </c>
    </row>
    <row r="94" spans="1:2" ht="15.75" customHeight="1">
      <c r="A94" s="23">
        <v>45056</v>
      </c>
      <c r="B94" s="24">
        <v>8.1329999999999998E-4</v>
      </c>
    </row>
    <row r="95" spans="1:2" ht="15.75" customHeight="1">
      <c r="A95" s="23">
        <v>45057</v>
      </c>
      <c r="B95" s="24">
        <v>8.1919999999999996E-4</v>
      </c>
    </row>
    <row r="96" spans="1:2" ht="15.75" customHeight="1">
      <c r="A96" s="23">
        <v>45058</v>
      </c>
      <c r="B96" s="24">
        <v>8.1729999999999997E-4</v>
      </c>
    </row>
    <row r="97" spans="1:2" ht="15.75" customHeight="1">
      <c r="A97" s="23">
        <v>45061</v>
      </c>
      <c r="B97" s="24">
        <v>8.1959999999999997E-4</v>
      </c>
    </row>
    <row r="98" spans="1:2" ht="15.75" customHeight="1">
      <c r="A98" s="23">
        <v>45062</v>
      </c>
      <c r="B98" s="24">
        <v>8.2189999999999997E-4</v>
      </c>
    </row>
    <row r="99" spans="1:2" ht="15.75" customHeight="1">
      <c r="A99" s="23">
        <v>45063</v>
      </c>
      <c r="B99" s="24">
        <v>8.2220000000000004E-4</v>
      </c>
    </row>
    <row r="100" spans="1:2" ht="15.75" customHeight="1">
      <c r="A100" s="23">
        <v>45064</v>
      </c>
      <c r="B100" s="24">
        <v>8.2589999999999996E-4</v>
      </c>
    </row>
    <row r="101" spans="1:2" ht="15.75" customHeight="1">
      <c r="A101" s="23">
        <v>45065</v>
      </c>
      <c r="B101" s="24">
        <v>8.2160000000000002E-4</v>
      </c>
    </row>
    <row r="102" spans="1:2" ht="15.75" customHeight="1">
      <c r="A102" s="23">
        <v>45068</v>
      </c>
      <c r="B102" s="24">
        <v>8.1570000000000004E-4</v>
      </c>
    </row>
    <row r="103" spans="1:2" ht="15.75" customHeight="1">
      <c r="A103" s="23">
        <v>45069</v>
      </c>
      <c r="B103" s="24">
        <v>8.2370000000000002E-4</v>
      </c>
    </row>
    <row r="104" spans="1:2" ht="15.75" customHeight="1">
      <c r="A104" s="23">
        <v>45070</v>
      </c>
      <c r="B104" s="24">
        <v>8.2479999999999999E-4</v>
      </c>
    </row>
    <row r="105" spans="1:2" ht="15.75" customHeight="1">
      <c r="A105" s="23">
        <v>45071</v>
      </c>
      <c r="B105" s="24">
        <v>8.2689999999999999E-4</v>
      </c>
    </row>
    <row r="106" spans="1:2" ht="15.75" customHeight="1">
      <c r="A106" s="23">
        <v>45072</v>
      </c>
      <c r="B106" s="24">
        <v>8.2280000000000005E-4</v>
      </c>
    </row>
    <row r="107" spans="1:2" ht="15.75" customHeight="1">
      <c r="A107" s="23">
        <v>45075</v>
      </c>
      <c r="B107" s="24">
        <v>8.2919999999999999E-4</v>
      </c>
    </row>
    <row r="108" spans="1:2" ht="15.75" customHeight="1">
      <c r="A108" s="23">
        <v>45076</v>
      </c>
      <c r="B108" s="24">
        <v>8.2720000000000005E-4</v>
      </c>
    </row>
    <row r="109" spans="1:2" ht="15.75" customHeight="1">
      <c r="A109" s="23">
        <v>45077</v>
      </c>
      <c r="B109" s="24">
        <v>8.296E-4</v>
      </c>
    </row>
    <row r="110" spans="1:2" ht="15.75" customHeight="1">
      <c r="A110" s="23">
        <v>45078</v>
      </c>
      <c r="B110" s="24">
        <v>8.2330000000000001E-4</v>
      </c>
    </row>
    <row r="111" spans="1:2" ht="15.75" customHeight="1">
      <c r="A111" s="23">
        <v>45079</v>
      </c>
      <c r="B111" s="24">
        <v>8.2589999999999996E-4</v>
      </c>
    </row>
    <row r="112" spans="1:2" ht="15.75" customHeight="1">
      <c r="A112" s="23">
        <v>45082</v>
      </c>
      <c r="B112" s="24">
        <v>8.2470000000000004E-4</v>
      </c>
    </row>
    <row r="113" spans="1:2" ht="15.75" customHeight="1">
      <c r="A113" s="23">
        <v>45083</v>
      </c>
      <c r="B113" s="24">
        <v>8.2529999999999995E-4</v>
      </c>
    </row>
    <row r="114" spans="1:2" ht="15.75" customHeight="1">
      <c r="A114" s="23">
        <v>45084</v>
      </c>
      <c r="B114" s="24">
        <v>8.2510000000000005E-4</v>
      </c>
    </row>
    <row r="115" spans="1:2" ht="15.75" customHeight="1">
      <c r="A115" s="23">
        <v>45085</v>
      </c>
      <c r="B115" s="24">
        <v>8.185E-4</v>
      </c>
    </row>
    <row r="116" spans="1:2" ht="15.75" customHeight="1">
      <c r="A116" s="23">
        <v>45086</v>
      </c>
      <c r="B116" s="24">
        <v>8.1789999999999999E-4</v>
      </c>
    </row>
    <row r="117" spans="1:2" ht="15.75" customHeight="1">
      <c r="A117" s="23">
        <v>45089</v>
      </c>
      <c r="B117" s="24">
        <v>8.1680000000000001E-4</v>
      </c>
    </row>
    <row r="118" spans="1:2" ht="15.75" customHeight="1">
      <c r="A118" s="23">
        <v>45090</v>
      </c>
      <c r="B118" s="24">
        <v>8.1470000000000002E-4</v>
      </c>
    </row>
    <row r="119" spans="1:2" ht="15.75" customHeight="1">
      <c r="A119" s="23">
        <v>45091</v>
      </c>
      <c r="B119" s="24">
        <v>8.1050000000000002E-4</v>
      </c>
    </row>
    <row r="120" spans="1:2" ht="15.75" customHeight="1">
      <c r="A120" s="23">
        <v>45092</v>
      </c>
      <c r="B120" s="24">
        <v>7.9900000000000001E-4</v>
      </c>
    </row>
    <row r="121" spans="1:2" ht="15.75" customHeight="1">
      <c r="A121" s="23">
        <v>45093</v>
      </c>
      <c r="B121" s="24">
        <v>7.9710000000000002E-4</v>
      </c>
    </row>
    <row r="122" spans="1:2" ht="15.75" customHeight="1">
      <c r="A122" s="23">
        <v>45096</v>
      </c>
      <c r="B122" s="24">
        <v>8.0090000000000001E-4</v>
      </c>
    </row>
    <row r="123" spans="1:2" ht="15.75" customHeight="1">
      <c r="A123" s="23">
        <v>45097</v>
      </c>
      <c r="B123" s="24">
        <v>7.9710000000000002E-4</v>
      </c>
    </row>
    <row r="124" spans="1:2" ht="15.75" customHeight="1">
      <c r="A124" s="23">
        <v>45098</v>
      </c>
      <c r="B124" s="24">
        <v>7.9040000000000002E-4</v>
      </c>
    </row>
    <row r="125" spans="1:2" ht="15.75" customHeight="1">
      <c r="A125" s="23">
        <v>45099</v>
      </c>
      <c r="B125" s="24">
        <v>7.9149999999999999E-4</v>
      </c>
    </row>
    <row r="126" spans="1:2" ht="15.75" customHeight="1">
      <c r="A126" s="23">
        <v>45100</v>
      </c>
      <c r="B126" s="24">
        <v>7.9310000000000003E-4</v>
      </c>
    </row>
    <row r="127" spans="1:2" ht="15.75" customHeight="1">
      <c r="A127" s="23">
        <v>45103</v>
      </c>
      <c r="B127" s="24">
        <v>7.7919999999999997E-4</v>
      </c>
    </row>
    <row r="128" spans="1:2" ht="15.75" customHeight="1">
      <c r="A128" s="23">
        <v>45104</v>
      </c>
      <c r="B128" s="24">
        <v>7.8750000000000001E-4</v>
      </c>
    </row>
    <row r="129" spans="1:2" ht="15.75" customHeight="1">
      <c r="A129" s="23">
        <v>45105</v>
      </c>
      <c r="B129" s="24">
        <v>7.894E-4</v>
      </c>
    </row>
    <row r="130" spans="1:2" ht="15.75" customHeight="1">
      <c r="A130" s="23">
        <v>45106</v>
      </c>
      <c r="B130" s="24">
        <v>7.8149999999999997E-4</v>
      </c>
    </row>
    <row r="131" spans="1:2" ht="15.75" customHeight="1">
      <c r="A131" s="23">
        <v>45107</v>
      </c>
      <c r="B131" s="24">
        <v>7.8629999999999998E-4</v>
      </c>
    </row>
    <row r="132" spans="1:2" ht="15.75" customHeight="1">
      <c r="A132" s="23">
        <v>45110</v>
      </c>
      <c r="B132" s="24">
        <v>7.9009999999999996E-4</v>
      </c>
    </row>
    <row r="133" spans="1:2" ht="15.75" customHeight="1">
      <c r="A133" s="23">
        <v>45111</v>
      </c>
      <c r="B133" s="24">
        <v>7.9210000000000001E-4</v>
      </c>
    </row>
    <row r="134" spans="1:2" ht="15.75" customHeight="1">
      <c r="A134" s="23">
        <v>45112</v>
      </c>
      <c r="B134" s="24">
        <v>7.9210000000000001E-4</v>
      </c>
    </row>
    <row r="135" spans="1:2" ht="15.75" customHeight="1">
      <c r="A135" s="23">
        <v>45113</v>
      </c>
      <c r="B135" s="24">
        <v>7.8879999999999998E-4</v>
      </c>
    </row>
    <row r="136" spans="1:2" ht="15.75" customHeight="1">
      <c r="A136" s="23">
        <v>45114</v>
      </c>
      <c r="B136" s="24">
        <v>7.8249999999999999E-4</v>
      </c>
    </row>
    <row r="137" spans="1:2" ht="15.75" customHeight="1">
      <c r="A137" s="23">
        <v>45117</v>
      </c>
      <c r="B137" s="24">
        <v>7.8319999999999996E-4</v>
      </c>
    </row>
    <row r="138" spans="1:2" ht="15.75" customHeight="1">
      <c r="A138" s="23">
        <v>45118</v>
      </c>
      <c r="B138" s="24">
        <v>7.7680000000000002E-4</v>
      </c>
    </row>
    <row r="139" spans="1:2" ht="15.75" customHeight="1">
      <c r="A139" s="23">
        <v>45119</v>
      </c>
      <c r="B139" s="24">
        <v>7.7249999999999997E-4</v>
      </c>
    </row>
    <row r="140" spans="1:2" ht="15.75" customHeight="1">
      <c r="A140" s="23">
        <v>45120</v>
      </c>
      <c r="B140" s="24">
        <v>7.6159999999999997E-4</v>
      </c>
    </row>
    <row r="141" spans="1:2" ht="15.75" customHeight="1">
      <c r="A141" s="23">
        <v>45121</v>
      </c>
      <c r="B141" s="24">
        <v>7.6230000000000004E-4</v>
      </c>
    </row>
    <row r="142" spans="1:2" ht="15.75" customHeight="1">
      <c r="A142" s="23">
        <v>45124</v>
      </c>
      <c r="B142" s="24">
        <v>7.6239999999999999E-4</v>
      </c>
    </row>
    <row r="143" spans="1:2" ht="15.75" customHeight="1">
      <c r="A143" s="23">
        <v>45125</v>
      </c>
      <c r="B143" s="24">
        <v>7.6119999999999996E-4</v>
      </c>
    </row>
    <row r="144" spans="1:2" ht="15.75" customHeight="1">
      <c r="A144" s="23">
        <v>45126</v>
      </c>
      <c r="B144" s="24">
        <v>7.6289999999999995E-4</v>
      </c>
    </row>
    <row r="145" spans="1:2" ht="15.75" customHeight="1">
      <c r="A145" s="23">
        <v>45127</v>
      </c>
      <c r="B145" s="24">
        <v>7.6769999999999996E-4</v>
      </c>
    </row>
    <row r="146" spans="1:2" ht="15.75" customHeight="1">
      <c r="A146" s="23">
        <v>45128</v>
      </c>
      <c r="B146" s="24">
        <v>7.6480000000000005E-4</v>
      </c>
    </row>
    <row r="147" spans="1:2" ht="15.75" customHeight="1">
      <c r="A147" s="23">
        <v>45131</v>
      </c>
      <c r="B147" s="24">
        <v>7.6990000000000001E-4</v>
      </c>
    </row>
    <row r="148" spans="1:2" ht="15.75" customHeight="1">
      <c r="A148" s="23">
        <v>45132</v>
      </c>
      <c r="B148" s="24">
        <v>7.6979999999999995E-4</v>
      </c>
    </row>
    <row r="149" spans="1:2" ht="15.75" customHeight="1">
      <c r="A149" s="23">
        <v>45133</v>
      </c>
      <c r="B149" s="24">
        <v>7.6800000000000002E-4</v>
      </c>
    </row>
    <row r="150" spans="1:2" ht="15.75" customHeight="1">
      <c r="A150" s="23">
        <v>45134</v>
      </c>
      <c r="B150" s="24">
        <v>7.7550000000000004E-4</v>
      </c>
    </row>
    <row r="151" spans="1:2" ht="15.75" customHeight="1">
      <c r="A151" s="23">
        <v>45135</v>
      </c>
      <c r="B151" s="24">
        <v>7.7019999999999996E-4</v>
      </c>
    </row>
    <row r="152" spans="1:2" ht="15.75" customHeight="1">
      <c r="A152" s="23">
        <v>45138</v>
      </c>
      <c r="B152" s="24">
        <v>7.672E-4</v>
      </c>
    </row>
    <row r="153" spans="1:2" ht="15.75" customHeight="1">
      <c r="A153" s="23">
        <v>45139</v>
      </c>
      <c r="B153" s="24">
        <v>7.7229999999999996E-4</v>
      </c>
    </row>
    <row r="154" spans="1:2" ht="15.75" customHeight="1">
      <c r="A154" s="23">
        <v>45140</v>
      </c>
      <c r="B154" s="24">
        <v>7.76E-4</v>
      </c>
    </row>
    <row r="155" spans="1:2" ht="15.75" customHeight="1">
      <c r="A155" s="23">
        <v>45141</v>
      </c>
      <c r="B155" s="24">
        <v>7.7380000000000005E-4</v>
      </c>
    </row>
    <row r="156" spans="1:2" ht="15.75" customHeight="1">
      <c r="A156" s="23">
        <v>45142</v>
      </c>
      <c r="B156" s="24">
        <v>7.7010000000000002E-4</v>
      </c>
    </row>
    <row r="157" spans="1:2" ht="15.75" customHeight="1">
      <c r="A157" s="23">
        <v>45145</v>
      </c>
      <c r="B157" s="24">
        <v>7.7470000000000002E-4</v>
      </c>
    </row>
    <row r="158" spans="1:2" ht="15.75" customHeight="1">
      <c r="A158" s="23">
        <v>45146</v>
      </c>
      <c r="B158" s="24">
        <v>7.7499999999999997E-4</v>
      </c>
    </row>
    <row r="159" spans="1:2" ht="15.75" customHeight="1">
      <c r="A159" s="23">
        <v>45147</v>
      </c>
      <c r="B159" s="24">
        <v>7.7269999999999997E-4</v>
      </c>
    </row>
    <row r="160" spans="1:2" ht="15.75" customHeight="1">
      <c r="A160" s="23">
        <v>45148</v>
      </c>
      <c r="B160" s="24">
        <v>7.7200000000000001E-4</v>
      </c>
    </row>
    <row r="161" spans="1:2" ht="15.75" customHeight="1">
      <c r="A161" s="23">
        <v>45149</v>
      </c>
      <c r="B161" s="24">
        <v>7.7360000000000005E-4</v>
      </c>
    </row>
    <row r="162" spans="1:2" ht="15.75" customHeight="1">
      <c r="A162" s="23">
        <v>45152</v>
      </c>
      <c r="B162" s="24">
        <v>7.7430000000000001E-4</v>
      </c>
    </row>
    <row r="163" spans="1:2" ht="15.75" customHeight="1">
      <c r="A163" s="23">
        <v>45153</v>
      </c>
      <c r="B163" s="24">
        <v>7.7329999999999999E-4</v>
      </c>
    </row>
    <row r="164" spans="1:2" ht="15.75" customHeight="1">
      <c r="A164" s="23">
        <v>45154</v>
      </c>
      <c r="B164" s="24">
        <v>7.7550000000000004E-4</v>
      </c>
    </row>
    <row r="165" spans="1:2" ht="15.75" customHeight="1">
      <c r="A165" s="23">
        <v>45155</v>
      </c>
      <c r="B165" s="24">
        <v>7.7689999999999996E-4</v>
      </c>
    </row>
    <row r="166" spans="1:2" ht="15.75" customHeight="1">
      <c r="A166" s="23">
        <v>45156</v>
      </c>
      <c r="B166" s="24">
        <v>7.7399999999999995E-4</v>
      </c>
    </row>
    <row r="167" spans="1:2" ht="15.75" customHeight="1">
      <c r="A167" s="23">
        <v>45159</v>
      </c>
      <c r="B167" s="24">
        <v>7.7249999999999997E-4</v>
      </c>
    </row>
    <row r="168" spans="1:2" ht="15.75" customHeight="1">
      <c r="A168" s="23">
        <v>45160</v>
      </c>
      <c r="B168" s="24">
        <v>7.7669999999999996E-4</v>
      </c>
    </row>
    <row r="169" spans="1:2" ht="15.75" customHeight="1">
      <c r="A169" s="23">
        <v>45161</v>
      </c>
      <c r="B169" s="24">
        <v>7.7510000000000003E-4</v>
      </c>
    </row>
    <row r="170" spans="1:2" ht="15.75" customHeight="1">
      <c r="A170" s="23">
        <v>45162</v>
      </c>
      <c r="B170" s="24">
        <v>7.7749999999999998E-4</v>
      </c>
    </row>
    <row r="171" spans="1:2" ht="15.75" customHeight="1">
      <c r="A171" s="23">
        <v>45163</v>
      </c>
      <c r="B171" s="24">
        <v>7.8069999999999995E-4</v>
      </c>
    </row>
    <row r="172" spans="1:2" ht="15.75" customHeight="1">
      <c r="A172" s="23">
        <v>45166</v>
      </c>
      <c r="B172" s="24">
        <v>7.7800000000000005E-4</v>
      </c>
    </row>
    <row r="173" spans="1:2" ht="15.75" customHeight="1">
      <c r="A173" s="23">
        <v>45167</v>
      </c>
      <c r="B173" s="24">
        <v>7.716E-4</v>
      </c>
    </row>
    <row r="174" spans="1:2" ht="15.75" customHeight="1">
      <c r="A174" s="23">
        <v>45168</v>
      </c>
      <c r="B174" s="24">
        <v>7.67E-4</v>
      </c>
    </row>
    <row r="175" spans="1:2" ht="15.75" customHeight="1">
      <c r="A175" s="23">
        <v>45169</v>
      </c>
      <c r="B175" s="24">
        <v>7.7510000000000003E-4</v>
      </c>
    </row>
    <row r="176" spans="1:2" ht="15.75" customHeight="1">
      <c r="A176" s="23">
        <v>45170</v>
      </c>
      <c r="B176" s="24">
        <v>7.7899999999999996E-4</v>
      </c>
    </row>
    <row r="177" spans="1:2" ht="15.75" customHeight="1">
      <c r="A177" s="23">
        <v>45173</v>
      </c>
      <c r="B177" s="24">
        <v>7.7499999999999997E-4</v>
      </c>
    </row>
    <row r="178" spans="1:2" ht="15.75" customHeight="1">
      <c r="A178" s="23">
        <v>45174</v>
      </c>
      <c r="B178" s="24">
        <v>7.8209999999999998E-4</v>
      </c>
    </row>
    <row r="179" spans="1:2" ht="15.75" customHeight="1">
      <c r="A179" s="23">
        <v>45175</v>
      </c>
      <c r="B179" s="24">
        <v>7.7660000000000001E-4</v>
      </c>
    </row>
    <row r="180" spans="1:2" ht="15.75" customHeight="1">
      <c r="A180" s="23">
        <v>45176</v>
      </c>
      <c r="B180" s="24">
        <v>7.7879999999999996E-4</v>
      </c>
    </row>
    <row r="181" spans="1:2" ht="15.75" customHeight="1">
      <c r="A181" s="23">
        <v>45177</v>
      </c>
      <c r="B181" s="24">
        <v>7.8019999999999999E-4</v>
      </c>
    </row>
    <row r="182" spans="1:2" ht="15.75" customHeight="1">
      <c r="A182" s="23">
        <v>45180</v>
      </c>
      <c r="B182" s="24">
        <v>7.7349999999999999E-4</v>
      </c>
    </row>
    <row r="183" spans="1:2" ht="15.75" customHeight="1">
      <c r="A183" s="23">
        <v>45181</v>
      </c>
      <c r="B183" s="24">
        <v>7.7269999999999997E-4</v>
      </c>
    </row>
    <row r="184" spans="1:2" ht="15.75" customHeight="1">
      <c r="A184" s="23">
        <v>45182</v>
      </c>
      <c r="B184" s="24">
        <v>7.7289999999999998E-4</v>
      </c>
    </row>
    <row r="185" spans="1:2" ht="15.75" customHeight="1">
      <c r="A185" s="23">
        <v>45183</v>
      </c>
      <c r="B185" s="24">
        <v>7.8379999999999997E-4</v>
      </c>
    </row>
    <row r="186" spans="1:2" ht="15.75" customHeight="1">
      <c r="A186" s="23">
        <v>45184</v>
      </c>
      <c r="B186" s="24">
        <v>7.7930000000000002E-4</v>
      </c>
    </row>
    <row r="187" spans="1:2" ht="15.75" customHeight="1">
      <c r="A187" s="23">
        <v>45187</v>
      </c>
      <c r="B187" s="24">
        <v>7.7789999999999999E-4</v>
      </c>
    </row>
    <row r="188" spans="1:2" ht="15.75" customHeight="1">
      <c r="A188" s="23">
        <v>45188</v>
      </c>
      <c r="B188" s="24">
        <v>7.7990000000000004E-4</v>
      </c>
    </row>
    <row r="189" spans="1:2" ht="15.75" customHeight="1">
      <c r="A189" s="23">
        <v>45189</v>
      </c>
      <c r="B189" s="24">
        <v>7.8069999999999995E-4</v>
      </c>
    </row>
    <row r="190" spans="1:2" ht="15.75" customHeight="1">
      <c r="A190" s="23">
        <v>45190</v>
      </c>
      <c r="B190" s="24">
        <v>7.8120000000000002E-4</v>
      </c>
    </row>
    <row r="191" spans="1:2" ht="15.75" customHeight="1">
      <c r="A191" s="23">
        <v>45191</v>
      </c>
      <c r="B191" s="24">
        <v>7.7499999999999997E-4</v>
      </c>
    </row>
    <row r="192" spans="1:2" ht="15.75" customHeight="1">
      <c r="A192" s="23">
        <v>45194</v>
      </c>
      <c r="B192" s="24">
        <v>7.8299999999999995E-4</v>
      </c>
    </row>
    <row r="193" spans="1:2" ht="15.75" customHeight="1">
      <c r="A193" s="23">
        <v>45195</v>
      </c>
      <c r="B193" s="24">
        <v>7.804E-4</v>
      </c>
    </row>
    <row r="194" spans="1:2" ht="15.75" customHeight="1">
      <c r="A194" s="23">
        <v>45196</v>
      </c>
      <c r="B194" s="24">
        <v>7.8160000000000002E-4</v>
      </c>
    </row>
    <row r="195" spans="1:2" ht="15.75" customHeight="1">
      <c r="A195" s="23">
        <v>45197</v>
      </c>
      <c r="B195" s="24">
        <v>7.7479999999999997E-4</v>
      </c>
    </row>
    <row r="196" spans="1:2" ht="15.75" customHeight="1">
      <c r="A196" s="23">
        <v>45198</v>
      </c>
      <c r="B196" s="24">
        <v>7.7890000000000001E-4</v>
      </c>
    </row>
    <row r="197" spans="1:2" ht="15.75" customHeight="1">
      <c r="A197" s="23">
        <v>45201</v>
      </c>
      <c r="B197" s="24">
        <v>7.8359999999999996E-4</v>
      </c>
    </row>
    <row r="198" spans="1:2" ht="15.75" customHeight="1">
      <c r="A198" s="23">
        <v>45202</v>
      </c>
      <c r="B198" s="24">
        <v>7.8700000000000005E-4</v>
      </c>
    </row>
    <row r="199" spans="1:2" ht="15.75" customHeight="1">
      <c r="A199" s="23">
        <v>45203</v>
      </c>
      <c r="B199" s="24">
        <v>7.827E-4</v>
      </c>
    </row>
    <row r="200" spans="1:2" ht="15.75" customHeight="1">
      <c r="A200" s="23">
        <v>45204</v>
      </c>
      <c r="B200" s="24">
        <v>7.7820000000000005E-4</v>
      </c>
    </row>
    <row r="201" spans="1:2" ht="15.75" customHeight="1">
      <c r="A201" s="23">
        <v>45205</v>
      </c>
      <c r="B201" s="24">
        <v>7.737E-4</v>
      </c>
    </row>
    <row r="202" spans="1:2" ht="15.75" customHeight="1">
      <c r="A202" s="23">
        <v>45208</v>
      </c>
      <c r="B202" s="24">
        <v>7.6619999999999998E-4</v>
      </c>
    </row>
    <row r="203" spans="1:2" ht="15.75" customHeight="1">
      <c r="A203" s="23">
        <v>45209</v>
      </c>
      <c r="B203" s="24">
        <v>7.7130000000000005E-4</v>
      </c>
    </row>
    <row r="204" spans="1:2" ht="15.75" customHeight="1">
      <c r="A204" s="23">
        <v>45210</v>
      </c>
      <c r="B204" s="24">
        <v>7.7150000000000005E-4</v>
      </c>
    </row>
    <row r="205" spans="1:2" ht="15.75" customHeight="1">
      <c r="A205" s="23">
        <v>45211</v>
      </c>
      <c r="B205" s="24">
        <v>7.7749999999999998E-4</v>
      </c>
    </row>
    <row r="206" spans="1:2" ht="15.75" customHeight="1">
      <c r="A206" s="23">
        <v>45212</v>
      </c>
      <c r="B206" s="24">
        <v>7.8030000000000005E-4</v>
      </c>
    </row>
    <row r="207" spans="1:2" ht="15.75" customHeight="1">
      <c r="A207" s="23">
        <v>45215</v>
      </c>
      <c r="B207" s="24">
        <v>7.7499999999999997E-4</v>
      </c>
    </row>
    <row r="208" spans="1:2" ht="15.75" customHeight="1">
      <c r="A208" s="23">
        <v>45216</v>
      </c>
      <c r="B208" s="24">
        <v>7.718E-4</v>
      </c>
    </row>
    <row r="209" spans="1:2" ht="15.75" customHeight="1">
      <c r="A209" s="23">
        <v>45217</v>
      </c>
      <c r="B209" s="24">
        <v>7.7689999999999996E-4</v>
      </c>
    </row>
    <row r="210" spans="1:2" ht="15.75" customHeight="1">
      <c r="A210" s="23">
        <v>45218</v>
      </c>
      <c r="B210" s="24">
        <v>7.7070000000000003E-4</v>
      </c>
    </row>
    <row r="211" spans="1:2" ht="15.75" customHeight="1">
      <c r="A211" s="23">
        <v>45219</v>
      </c>
      <c r="B211" s="24">
        <v>7.6900000000000004E-4</v>
      </c>
    </row>
    <row r="212" spans="1:2" ht="15.75" customHeight="1">
      <c r="A212" s="23">
        <v>45222</v>
      </c>
      <c r="B212" s="24">
        <v>7.6559999999999996E-4</v>
      </c>
    </row>
    <row r="213" spans="1:2" ht="15.75" customHeight="1">
      <c r="A213" s="23">
        <v>45223</v>
      </c>
      <c r="B213" s="24">
        <v>7.6480000000000005E-4</v>
      </c>
    </row>
    <row r="214" spans="1:2" ht="15.75" customHeight="1">
      <c r="A214" s="23">
        <v>45224</v>
      </c>
      <c r="B214" s="24">
        <v>7.6829999999999997E-4</v>
      </c>
    </row>
    <row r="215" spans="1:2" ht="15.75" customHeight="1">
      <c r="A215" s="23">
        <v>45225</v>
      </c>
      <c r="B215" s="24">
        <v>7.7209999999999996E-4</v>
      </c>
    </row>
    <row r="216" spans="1:2" ht="15.75" customHeight="1">
      <c r="A216" s="23">
        <v>45226</v>
      </c>
      <c r="B216" s="24">
        <v>7.7169999999999995E-4</v>
      </c>
    </row>
    <row r="217" spans="1:2" ht="15.75" customHeight="1">
      <c r="A217" s="23">
        <v>45229</v>
      </c>
      <c r="B217" s="24">
        <v>7.6670000000000004E-4</v>
      </c>
    </row>
    <row r="218" spans="1:2" ht="15.75" customHeight="1">
      <c r="A218" s="23">
        <v>45230</v>
      </c>
      <c r="B218" s="24">
        <v>7.6900000000000004E-4</v>
      </c>
    </row>
    <row r="219" spans="1:2" ht="15.75" customHeight="1">
      <c r="A219" s="23">
        <v>45231</v>
      </c>
      <c r="B219" s="24">
        <v>7.6389999999999997E-4</v>
      </c>
    </row>
    <row r="220" spans="1:2" ht="15.75" customHeight="1">
      <c r="A220" s="23">
        <v>45232</v>
      </c>
      <c r="B220" s="24">
        <v>7.6239999999999999E-4</v>
      </c>
    </row>
    <row r="221" spans="1:2" ht="15.75" customHeight="1">
      <c r="A221" s="23">
        <v>45233</v>
      </c>
      <c r="B221" s="24">
        <v>7.5600000000000005E-4</v>
      </c>
    </row>
    <row r="222" spans="1:2" ht="15.75" customHeight="1">
      <c r="A222" s="23">
        <v>45236</v>
      </c>
      <c r="B222" s="24">
        <v>7.605E-4</v>
      </c>
    </row>
    <row r="223" spans="1:2" ht="15.75" customHeight="1">
      <c r="A223" s="23">
        <v>45237</v>
      </c>
      <c r="B223" s="24">
        <v>7.6090000000000001E-4</v>
      </c>
    </row>
    <row r="224" spans="1:2" ht="15.75" customHeight="1">
      <c r="A224" s="23">
        <v>45238</v>
      </c>
      <c r="B224" s="24">
        <v>7.582E-4</v>
      </c>
    </row>
    <row r="225" spans="1:2" ht="15.75" customHeight="1">
      <c r="A225" s="23">
        <v>45239</v>
      </c>
      <c r="B225" s="24">
        <v>7.6119999999999996E-4</v>
      </c>
    </row>
    <row r="226" spans="1:2" ht="15.75" customHeight="1">
      <c r="A226" s="23">
        <v>45240</v>
      </c>
      <c r="B226" s="24">
        <v>7.5630000000000001E-4</v>
      </c>
    </row>
    <row r="227" spans="1:2" ht="15.75" customHeight="1">
      <c r="A227" s="23">
        <v>45243</v>
      </c>
      <c r="B227" s="24">
        <v>7.5909999999999997E-4</v>
      </c>
    </row>
    <row r="228" spans="1:2" ht="15.75" customHeight="1">
      <c r="A228" s="23">
        <v>45244</v>
      </c>
      <c r="B228" s="24">
        <v>7.4339999999999996E-4</v>
      </c>
    </row>
    <row r="229" spans="1:2" ht="15.75" customHeight="1">
      <c r="A229" s="23">
        <v>45245</v>
      </c>
      <c r="B229" s="24">
        <v>7.3919999999999997E-4</v>
      </c>
    </row>
    <row r="230" spans="1:2" ht="15.75" customHeight="1">
      <c r="A230" s="23">
        <v>45246</v>
      </c>
      <c r="B230" s="24">
        <v>7.4470000000000005E-4</v>
      </c>
    </row>
    <row r="231" spans="1:2" ht="15.75" customHeight="1">
      <c r="A231" s="23">
        <v>45247</v>
      </c>
      <c r="B231" s="24">
        <v>7.3720000000000003E-4</v>
      </c>
    </row>
    <row r="232" spans="1:2" ht="15.75" customHeight="1">
      <c r="A232" s="23">
        <v>45250</v>
      </c>
      <c r="B232" s="24">
        <v>7.3930000000000003E-4</v>
      </c>
    </row>
    <row r="233" spans="1:2" ht="15.75" customHeight="1">
      <c r="A233" s="23">
        <v>45251</v>
      </c>
      <c r="B233" s="24">
        <v>7.4140000000000002E-4</v>
      </c>
    </row>
    <row r="234" spans="1:2" ht="15.75" customHeight="1">
      <c r="A234" s="23">
        <v>45252</v>
      </c>
      <c r="B234" s="24">
        <v>7.4399999999999998E-4</v>
      </c>
    </row>
    <row r="235" spans="1:2" ht="15.75" customHeight="1">
      <c r="A235" s="23">
        <v>45253</v>
      </c>
      <c r="B235" s="24">
        <v>7.4140000000000002E-4</v>
      </c>
    </row>
    <row r="236" spans="1:2" ht="15.75" customHeight="1">
      <c r="A236" s="23">
        <v>45254</v>
      </c>
      <c r="B236" s="24">
        <v>7.3550000000000004E-4</v>
      </c>
    </row>
    <row r="237" spans="1:2" ht="15.75" customHeight="1">
      <c r="A237" s="23">
        <v>45257</v>
      </c>
      <c r="B237" s="24">
        <v>7.3620000000000001E-4</v>
      </c>
    </row>
    <row r="238" spans="1:2" ht="15.75" customHeight="1">
      <c r="A238" s="23">
        <v>45258</v>
      </c>
      <c r="B238" s="24">
        <v>7.3110000000000004E-4</v>
      </c>
    </row>
    <row r="239" spans="1:2" ht="15.75" customHeight="1">
      <c r="A239" s="23">
        <v>45259</v>
      </c>
      <c r="B239" s="24">
        <v>7.3499999999999998E-4</v>
      </c>
    </row>
    <row r="240" spans="1:2" ht="15.75" customHeight="1">
      <c r="A240" s="23">
        <v>45260</v>
      </c>
      <c r="B240" s="24">
        <v>7.3890000000000002E-4</v>
      </c>
    </row>
    <row r="241" spans="1:2" ht="15.75" customHeight="1">
      <c r="A241" s="23">
        <v>45261</v>
      </c>
      <c r="B241" s="24">
        <v>7.3680000000000002E-4</v>
      </c>
    </row>
    <row r="242" spans="1:2" ht="15.75" customHeight="1">
      <c r="A242" s="23">
        <v>45264</v>
      </c>
      <c r="B242" s="24">
        <v>7.4120000000000002E-4</v>
      </c>
    </row>
    <row r="243" spans="1:2" ht="15.75" customHeight="1">
      <c r="A243" s="23">
        <v>45265</v>
      </c>
      <c r="B243" s="24">
        <v>7.4419999999999998E-4</v>
      </c>
    </row>
    <row r="244" spans="1:2" ht="15.75" customHeight="1">
      <c r="A244" s="23">
        <v>45266</v>
      </c>
      <c r="B244" s="24">
        <v>7.4410000000000003E-4</v>
      </c>
    </row>
    <row r="245" spans="1:2" ht="15.75" customHeight="1">
      <c r="A245" s="23">
        <v>45267</v>
      </c>
      <c r="B245" s="24">
        <v>7.4169999999999998E-4</v>
      </c>
    </row>
    <row r="246" spans="1:2" ht="15.75" customHeight="1">
      <c r="A246" s="23">
        <v>45268</v>
      </c>
      <c r="B246" s="24">
        <v>7.4169999999999998E-4</v>
      </c>
    </row>
    <row r="247" spans="1:2" ht="15.75" customHeight="1">
      <c r="A247" s="23">
        <v>45271</v>
      </c>
      <c r="B247" s="24">
        <v>7.4290000000000001E-4</v>
      </c>
    </row>
    <row r="248" spans="1:2" ht="15.75" customHeight="1">
      <c r="A248" s="23">
        <v>45272</v>
      </c>
      <c r="B248" s="24">
        <v>7.4149999999999997E-4</v>
      </c>
    </row>
    <row r="249" spans="1:2" ht="15.75" customHeight="1">
      <c r="A249" s="23">
        <v>45273</v>
      </c>
      <c r="B249" s="24">
        <v>7.3399999999999995E-4</v>
      </c>
    </row>
    <row r="250" spans="1:2" ht="15.75" customHeight="1">
      <c r="A250" s="23">
        <v>45274</v>
      </c>
      <c r="B250" s="24">
        <v>7.2570000000000002E-4</v>
      </c>
    </row>
    <row r="251" spans="1:2" ht="15.75" customHeight="1">
      <c r="A251" s="23">
        <v>45275</v>
      </c>
      <c r="B251" s="24">
        <v>7.293E-4</v>
      </c>
    </row>
    <row r="252" spans="1:2" ht="15.75" customHeight="1">
      <c r="A252" s="23">
        <v>45278</v>
      </c>
      <c r="B252" s="24">
        <v>7.3110000000000004E-4</v>
      </c>
    </row>
    <row r="253" spans="1:2" ht="15.75" customHeight="1">
      <c r="A253" s="23">
        <v>45279</v>
      </c>
      <c r="B253" s="24">
        <v>7.2570000000000002E-4</v>
      </c>
    </row>
    <row r="254" spans="1:2" ht="15.75" customHeight="1">
      <c r="A254" s="23">
        <v>45280</v>
      </c>
      <c r="B254" s="24">
        <v>7.2789999999999997E-4</v>
      </c>
    </row>
    <row r="255" spans="1:2" ht="15.75" customHeight="1">
      <c r="A255" s="23">
        <v>45281</v>
      </c>
      <c r="B255" s="24">
        <v>7.2320000000000001E-4</v>
      </c>
    </row>
    <row r="256" spans="1:2" ht="15.75" customHeight="1">
      <c r="A256" s="23">
        <v>45282</v>
      </c>
      <c r="B256" s="24">
        <v>7.2130000000000002E-4</v>
      </c>
    </row>
    <row r="257" spans="1:2" ht="15.75" customHeight="1">
      <c r="A257" s="23">
        <v>45285</v>
      </c>
      <c r="B257" s="24">
        <v>7.2099999999999996E-4</v>
      </c>
    </row>
    <row r="258" spans="1:2" ht="15.75" customHeight="1">
      <c r="A258" s="23">
        <v>45286</v>
      </c>
      <c r="B258" s="24">
        <v>7.1860000000000001E-4</v>
      </c>
    </row>
    <row r="259" spans="1:2" ht="15.75" customHeight="1">
      <c r="A259" s="23">
        <v>45287</v>
      </c>
      <c r="B259" s="24">
        <v>7.1449999999999997E-4</v>
      </c>
    </row>
    <row r="260" spans="1:2" ht="15.75" customHeight="1">
      <c r="A260" s="23">
        <v>45288</v>
      </c>
      <c r="B260" s="24">
        <v>7.157E-4</v>
      </c>
    </row>
    <row r="261" spans="1:2" ht="15.75" customHeight="1">
      <c r="A261" s="23">
        <v>45289</v>
      </c>
      <c r="B261" s="24">
        <v>7.1840000000000001E-4</v>
      </c>
    </row>
    <row r="262" spans="1:2" ht="15.75" customHeight="1">
      <c r="A262" s="23">
        <v>45292</v>
      </c>
      <c r="B262" s="24">
        <v>7.1759999999999999E-4</v>
      </c>
    </row>
    <row r="263" spans="1:2" ht="15.75" customHeight="1">
      <c r="A263" s="23">
        <v>45293</v>
      </c>
      <c r="B263" s="24">
        <v>7.2449999999999999E-4</v>
      </c>
    </row>
    <row r="264" spans="1:2" ht="15.75" customHeight="1">
      <c r="A264" s="23">
        <v>45294</v>
      </c>
      <c r="B264" s="24">
        <v>7.2590000000000003E-4</v>
      </c>
    </row>
    <row r="265" spans="1:2" ht="15.75" customHeight="1">
      <c r="A265" s="23">
        <v>45295</v>
      </c>
      <c r="B265" s="24">
        <v>7.2389999999999998E-4</v>
      </c>
    </row>
    <row r="266" spans="1:2" ht="15.75" customHeight="1">
      <c r="A266" s="23">
        <v>45296</v>
      </c>
      <c r="B266" s="24">
        <v>7.2300000000000001E-4</v>
      </c>
    </row>
    <row r="267" spans="1:2" ht="15.75" customHeight="1">
      <c r="A267" s="23">
        <v>45299</v>
      </c>
      <c r="B267" s="24">
        <v>7.203E-4</v>
      </c>
    </row>
    <row r="268" spans="1:2" ht="15.75" customHeight="1">
      <c r="A268" s="23">
        <v>45300</v>
      </c>
      <c r="B268" s="24">
        <v>7.2360000000000002E-4</v>
      </c>
    </row>
    <row r="269" spans="1:2" ht="15.75" customHeight="1">
      <c r="A269" s="23">
        <v>45301</v>
      </c>
      <c r="B269" s="24">
        <v>7.2070000000000001E-4</v>
      </c>
    </row>
    <row r="270" spans="1:2" ht="15.75" customHeight="1">
      <c r="A270" s="23">
        <v>45302</v>
      </c>
      <c r="B270" s="24">
        <v>7.2020000000000005E-4</v>
      </c>
    </row>
    <row r="271" spans="1:2" ht="15.75" customHeight="1">
      <c r="A271" s="23">
        <v>45303</v>
      </c>
      <c r="B271" s="24">
        <v>7.1650000000000001E-4</v>
      </c>
    </row>
    <row r="272" spans="1:2" ht="15.75" customHeight="1">
      <c r="A272" s="23">
        <v>45306</v>
      </c>
      <c r="B272" s="24">
        <v>7.1710000000000003E-4</v>
      </c>
    </row>
    <row r="273" spans="1:2" ht="15.75" customHeight="1">
      <c r="A273" s="23">
        <v>45307</v>
      </c>
      <c r="B273" s="24">
        <v>7.2499999999999995E-4</v>
      </c>
    </row>
    <row r="274" spans="1:2" ht="15.75" customHeight="1">
      <c r="A274" s="23">
        <v>45308</v>
      </c>
      <c r="B274" s="24">
        <v>7.2380000000000003E-4</v>
      </c>
    </row>
    <row r="275" spans="1:2" ht="15.75" customHeight="1">
      <c r="A275" s="23">
        <v>45309</v>
      </c>
      <c r="B275" s="24">
        <v>7.1779999999999999E-4</v>
      </c>
    </row>
    <row r="276" spans="1:2" ht="15.75" customHeight="1">
      <c r="A276" s="23">
        <v>45310</v>
      </c>
      <c r="B276" s="24">
        <v>7.2039999999999995E-4</v>
      </c>
    </row>
    <row r="277" spans="1:2" ht="15.75" customHeight="1">
      <c r="A277" s="23">
        <v>45313</v>
      </c>
      <c r="B277" s="24">
        <v>7.1489999999999998E-4</v>
      </c>
    </row>
    <row r="278" spans="1:2" ht="15.75" customHeight="1">
      <c r="A278" s="23">
        <v>45314</v>
      </c>
      <c r="B278" s="24">
        <v>7.1929999999999997E-4</v>
      </c>
    </row>
    <row r="279" spans="1:2" ht="15.75" customHeight="1">
      <c r="A279" s="23">
        <v>45315</v>
      </c>
      <c r="B279" s="24">
        <v>7.2289999999999995E-4</v>
      </c>
    </row>
    <row r="280" spans="1:2" ht="15.75" customHeight="1">
      <c r="A280" s="23">
        <v>45316</v>
      </c>
      <c r="B280" s="24">
        <v>7.2289999999999995E-4</v>
      </c>
    </row>
    <row r="281" spans="1:2" ht="15.75" customHeight="1">
      <c r="A281" s="23">
        <v>45317</v>
      </c>
      <c r="B281" s="24">
        <v>7.2170000000000003E-4</v>
      </c>
    </row>
    <row r="282" spans="1:2" ht="15.75" customHeight="1">
      <c r="A282" s="23">
        <v>45320</v>
      </c>
      <c r="B282" s="24">
        <v>7.2369999999999997E-4</v>
      </c>
    </row>
    <row r="283" spans="1:2" ht="15.75" customHeight="1">
      <c r="A283" s="23">
        <v>45321</v>
      </c>
      <c r="B283" s="24">
        <v>7.2420000000000004E-4</v>
      </c>
    </row>
    <row r="284" spans="1:2" ht="15.75" customHeight="1">
      <c r="A284" s="23">
        <v>45322</v>
      </c>
      <c r="B284" s="24">
        <v>7.2950000000000001E-4</v>
      </c>
    </row>
    <row r="285" spans="1:2" ht="15.75" customHeight="1">
      <c r="A285" s="23">
        <v>45323</v>
      </c>
      <c r="B285" s="24">
        <v>7.2119999999999997E-4</v>
      </c>
    </row>
    <row r="286" spans="1:2" ht="15.75" customHeight="1">
      <c r="A286" s="23">
        <v>45324</v>
      </c>
      <c r="B286" s="24">
        <v>7.2519999999999995E-4</v>
      </c>
    </row>
    <row r="287" spans="1:2" ht="15.75" customHeight="1">
      <c r="A287" s="23">
        <v>45327</v>
      </c>
      <c r="B287" s="24">
        <v>7.3099999999999999E-4</v>
      </c>
    </row>
    <row r="288" spans="1:2" ht="15.75" customHeight="1">
      <c r="A288" s="23">
        <v>45328</v>
      </c>
      <c r="B288" s="24">
        <v>7.2599999999999997E-4</v>
      </c>
    </row>
    <row r="289" spans="1:2" ht="15.75" customHeight="1">
      <c r="A289" s="23">
        <v>45329</v>
      </c>
      <c r="B289" s="24">
        <v>7.2800000000000002E-4</v>
      </c>
    </row>
    <row r="290" spans="1:2" ht="15.75" customHeight="1">
      <c r="A290" s="23">
        <v>45330</v>
      </c>
      <c r="B290" s="24">
        <v>7.2880000000000004E-4</v>
      </c>
    </row>
    <row r="291" spans="1:2" ht="15.75" customHeight="1">
      <c r="A291" s="23">
        <v>45331</v>
      </c>
      <c r="B291" s="24">
        <v>7.2729999999999995E-4</v>
      </c>
    </row>
    <row r="292" spans="1:2" ht="15.75" customHeight="1">
      <c r="A292" s="23">
        <v>45334</v>
      </c>
      <c r="B292" s="24">
        <v>7.2939999999999995E-4</v>
      </c>
    </row>
    <row r="293" spans="1:2" ht="15.75" customHeight="1">
      <c r="A293" s="23">
        <v>45335</v>
      </c>
      <c r="B293" s="24">
        <v>7.3090000000000004E-4</v>
      </c>
    </row>
    <row r="294" spans="1:2" ht="15.75" customHeight="1">
      <c r="A294" s="23">
        <v>45336</v>
      </c>
      <c r="B294" s="24">
        <v>7.3189999999999996E-4</v>
      </c>
    </row>
    <row r="295" spans="1:2" ht="15.75" customHeight="1">
      <c r="A295" s="23">
        <v>45337</v>
      </c>
      <c r="B295" s="24">
        <v>7.3050000000000003E-4</v>
      </c>
    </row>
    <row r="296" spans="1:2" ht="15.75" customHeight="1">
      <c r="A296" s="23">
        <v>45338</v>
      </c>
      <c r="B296" s="24">
        <v>7.2920000000000005E-4</v>
      </c>
    </row>
    <row r="297" spans="1:2" ht="15.75" customHeight="1">
      <c r="A297" s="23">
        <v>45341</v>
      </c>
      <c r="B297" s="24">
        <v>7.2920000000000005E-4</v>
      </c>
    </row>
    <row r="298" spans="1:2" ht="15.75" customHeight="1">
      <c r="A298" s="23">
        <v>45342</v>
      </c>
      <c r="B298" s="24">
        <v>7.2619999999999998E-4</v>
      </c>
    </row>
    <row r="299" spans="1:2" ht="15.75" customHeight="1">
      <c r="A299" s="23">
        <v>45343</v>
      </c>
      <c r="B299" s="24">
        <v>7.2480000000000005E-4</v>
      </c>
    </row>
    <row r="300" spans="1:2" ht="15.75" customHeight="1">
      <c r="A300" s="23">
        <v>45344</v>
      </c>
      <c r="B300" s="24">
        <v>7.2440000000000004E-4</v>
      </c>
    </row>
    <row r="301" spans="1:2" ht="15.75" customHeight="1">
      <c r="A301" s="23">
        <v>45345</v>
      </c>
      <c r="B301" s="24">
        <v>7.2400000000000003E-4</v>
      </c>
    </row>
    <row r="302" spans="1:2" ht="15.75" customHeight="1">
      <c r="A302" s="23">
        <v>45348</v>
      </c>
      <c r="B302" s="24">
        <v>7.1429999999999996E-4</v>
      </c>
    </row>
    <row r="303" spans="1:2" ht="15.75" customHeight="1">
      <c r="A303" s="23">
        <v>45349</v>
      </c>
      <c r="B303" s="24">
        <v>7.1920000000000003E-4</v>
      </c>
    </row>
    <row r="304" spans="1:2" ht="15.75" customHeight="1">
      <c r="A304" s="23">
        <v>45350</v>
      </c>
      <c r="B304" s="24">
        <v>7.2429999999999999E-4</v>
      </c>
    </row>
    <row r="305" spans="1:2" ht="15.75" customHeight="1">
      <c r="A305" s="23">
        <v>45351</v>
      </c>
      <c r="B305" s="24">
        <v>7.2250000000000005E-4</v>
      </c>
    </row>
    <row r="306" spans="1:2" ht="15.75" customHeight="1">
      <c r="A306" s="23">
        <v>45352</v>
      </c>
      <c r="B306" s="24">
        <v>7.2320000000000001E-4</v>
      </c>
    </row>
    <row r="307" spans="1:2" ht="15.75" customHeight="1">
      <c r="A307" s="23">
        <v>45355</v>
      </c>
      <c r="B307" s="24">
        <v>7.203E-4</v>
      </c>
    </row>
    <row r="308" spans="1:2" ht="15.75" customHeight="1">
      <c r="A308" s="23">
        <v>45356</v>
      </c>
      <c r="B308" s="24">
        <v>7.1980000000000004E-4</v>
      </c>
    </row>
    <row r="309" spans="1:2" ht="15.75" customHeight="1">
      <c r="A309" s="23">
        <v>45357</v>
      </c>
      <c r="B309" s="24">
        <v>7.1730000000000003E-4</v>
      </c>
    </row>
    <row r="310" spans="1:2" ht="15.75" customHeight="1">
      <c r="A310" s="23">
        <v>45358</v>
      </c>
      <c r="B310" s="24">
        <v>7.1679999999999997E-4</v>
      </c>
    </row>
    <row r="311" spans="1:2" ht="15.75" customHeight="1">
      <c r="A311" s="23">
        <v>45359</v>
      </c>
      <c r="B311" s="24">
        <v>7.1779999999999999E-4</v>
      </c>
    </row>
    <row r="312" spans="1:2" ht="15.75" customHeight="1">
      <c r="A312" s="23">
        <v>45362</v>
      </c>
      <c r="B312" s="24">
        <v>7.1199999999999996E-4</v>
      </c>
    </row>
    <row r="313" spans="1:2" ht="15.75" customHeight="1">
      <c r="A313" s="23">
        <v>45363</v>
      </c>
      <c r="B313" s="24">
        <v>7.1239999999999997E-4</v>
      </c>
    </row>
    <row r="314" spans="1:2" ht="15.75" customHeight="1">
      <c r="A314" s="23">
        <v>45364</v>
      </c>
      <c r="B314" s="24">
        <v>7.0929999999999995E-4</v>
      </c>
    </row>
    <row r="315" spans="1:2" ht="15.75" customHeight="1">
      <c r="A315" s="23">
        <v>45365</v>
      </c>
      <c r="B315" s="24">
        <v>7.1409999999999996E-4</v>
      </c>
    </row>
    <row r="316" spans="1:2" ht="15.75" customHeight="1">
      <c r="A316" s="23">
        <v>45366</v>
      </c>
      <c r="B316" s="24">
        <v>7.1290000000000004E-4</v>
      </c>
    </row>
    <row r="317" spans="1:2" ht="15.75" customHeight="1">
      <c r="A317" s="23">
        <v>45369</v>
      </c>
      <c r="B317" s="24">
        <v>7.1290000000000004E-4</v>
      </c>
    </row>
    <row r="318" spans="1:2" ht="15.75" customHeight="1">
      <c r="A318" s="23">
        <v>45370</v>
      </c>
      <c r="B318" s="24">
        <v>7.1560000000000005E-4</v>
      </c>
    </row>
    <row r="319" spans="1:2" ht="15.75" customHeight="1">
      <c r="A319" s="23">
        <v>45371</v>
      </c>
      <c r="B319" s="24">
        <v>7.1069999999999998E-4</v>
      </c>
    </row>
    <row r="320" spans="1:2" ht="15.75" customHeight="1">
      <c r="A320" s="23">
        <v>45372</v>
      </c>
      <c r="B320" s="24">
        <v>7.1690000000000002E-4</v>
      </c>
    </row>
    <row r="321" spans="1:2" ht="15.75" customHeight="1">
      <c r="A321" s="23">
        <v>45373</v>
      </c>
      <c r="B321" s="24">
        <v>7.1529999999999999E-4</v>
      </c>
    </row>
    <row r="322" spans="1:2" ht="15.75" customHeight="1">
      <c r="A322" s="23">
        <v>45376</v>
      </c>
      <c r="B322" s="24">
        <v>7.1670000000000002E-4</v>
      </c>
    </row>
    <row r="323" spans="1:2" ht="15.75" customHeight="1">
      <c r="A323" s="23">
        <v>45377</v>
      </c>
      <c r="B323" s="24">
        <v>7.1730000000000003E-4</v>
      </c>
    </row>
    <row r="324" spans="1:2" ht="15.75" customHeight="1">
      <c r="A324" s="23">
        <v>45378</v>
      </c>
      <c r="B324" s="24">
        <v>7.182E-4</v>
      </c>
    </row>
    <row r="325" spans="1:2" ht="15.75" customHeight="1">
      <c r="A325" s="23">
        <v>45379</v>
      </c>
      <c r="B325" s="24">
        <v>7.2020000000000005E-4</v>
      </c>
    </row>
    <row r="326" spans="1:2" ht="15.75" customHeight="1">
      <c r="A326" s="23">
        <v>45380</v>
      </c>
      <c r="B326" s="24">
        <v>7.1829999999999995E-4</v>
      </c>
    </row>
    <row r="327" spans="1:2" ht="15.75" customHeight="1">
      <c r="A327" s="23">
        <v>45383</v>
      </c>
      <c r="B327" s="24">
        <v>7.2340000000000002E-4</v>
      </c>
    </row>
    <row r="328" spans="1:2" ht="15.75" customHeight="1">
      <c r="A328" s="23">
        <v>45384</v>
      </c>
      <c r="B328" s="24">
        <v>7.2199999999999999E-4</v>
      </c>
    </row>
    <row r="329" spans="1:2" ht="15.75" customHeight="1">
      <c r="A329" s="23">
        <v>45385</v>
      </c>
      <c r="B329" s="24">
        <v>7.1599999999999995E-4</v>
      </c>
    </row>
    <row r="330" spans="1:2" ht="15.75" customHeight="1">
      <c r="A330" s="23">
        <v>45386</v>
      </c>
      <c r="B330" s="24">
        <v>7.1670000000000002E-4</v>
      </c>
    </row>
    <row r="331" spans="1:2" ht="15.75" customHeight="1">
      <c r="A331" s="23">
        <v>45387</v>
      </c>
      <c r="B331" s="24">
        <v>7.1759999999999999E-4</v>
      </c>
    </row>
    <row r="332" spans="1:2" ht="15.75" customHeight="1">
      <c r="A332" s="23">
        <v>45390</v>
      </c>
      <c r="B332" s="24">
        <v>7.1520000000000004E-4</v>
      </c>
    </row>
    <row r="333" spans="1:2" ht="15.75" customHeight="1">
      <c r="A333" s="23">
        <v>45391</v>
      </c>
      <c r="B333" s="24">
        <v>7.1429999999999996E-4</v>
      </c>
    </row>
    <row r="334" spans="1:2" ht="15.75" customHeight="1">
      <c r="A334" s="23">
        <v>45392</v>
      </c>
      <c r="B334" s="24">
        <v>7.2150000000000003E-4</v>
      </c>
    </row>
    <row r="335" spans="1:2" ht="15.75" customHeight="1">
      <c r="A335" s="23">
        <v>45393</v>
      </c>
      <c r="B335" s="24">
        <v>7.2389999999999998E-4</v>
      </c>
    </row>
    <row r="336" spans="1:2" ht="15.75" customHeight="1">
      <c r="A336" s="23">
        <v>45394</v>
      </c>
      <c r="B336" s="24">
        <v>7.2480000000000005E-4</v>
      </c>
    </row>
    <row r="337" spans="1:2" ht="15.75" customHeight="1">
      <c r="A337" s="23">
        <v>45397</v>
      </c>
      <c r="B337" s="24">
        <v>7.2860000000000004E-4</v>
      </c>
    </row>
    <row r="338" spans="1:2" ht="15.75" customHeight="1">
      <c r="A338" s="23">
        <v>45398</v>
      </c>
      <c r="B338" s="24">
        <v>7.2990000000000001E-4</v>
      </c>
    </row>
    <row r="339" spans="1:2" ht="15.75" customHeight="1">
      <c r="A339" s="23">
        <v>45399</v>
      </c>
      <c r="B339" s="24">
        <v>7.2749999999999996E-4</v>
      </c>
    </row>
    <row r="340" spans="1:2" ht="15.75" customHeight="1">
      <c r="A340" s="23">
        <v>45400</v>
      </c>
      <c r="B340" s="24">
        <v>7.2869999999999999E-4</v>
      </c>
    </row>
    <row r="341" spans="1:2" ht="15.75" customHeight="1">
      <c r="A341" s="23">
        <v>45401</v>
      </c>
      <c r="B341" s="24">
        <v>7.2300000000000001E-4</v>
      </c>
    </row>
    <row r="342" spans="1:2" ht="15.75" customHeight="1">
      <c r="A342" s="23">
        <v>45404</v>
      </c>
      <c r="B342" s="24">
        <v>7.2619999999999998E-4</v>
      </c>
    </row>
    <row r="343" spans="1:2" ht="15.75" customHeight="1">
      <c r="A343" s="23">
        <v>45405</v>
      </c>
      <c r="B343" s="24">
        <v>7.2380000000000003E-4</v>
      </c>
    </row>
    <row r="344" spans="1:2" ht="15.75" customHeight="1">
      <c r="A344" s="23">
        <v>45406</v>
      </c>
      <c r="B344" s="24">
        <v>7.2190000000000004E-4</v>
      </c>
    </row>
    <row r="345" spans="1:2" ht="15.75" customHeight="1">
      <c r="A345" s="23">
        <v>45407</v>
      </c>
      <c r="B345" s="24">
        <v>7.2099999999999996E-4</v>
      </c>
    </row>
    <row r="346" spans="1:2" ht="15.75" customHeight="1">
      <c r="A346" s="23">
        <v>45408</v>
      </c>
      <c r="B346" s="24">
        <v>7.2480000000000005E-4</v>
      </c>
    </row>
    <row r="347" spans="1:2" ht="15.75" customHeight="1">
      <c r="A347" s="23">
        <v>45411</v>
      </c>
      <c r="B347" s="24">
        <v>7.2170000000000003E-4</v>
      </c>
    </row>
    <row r="348" spans="1:2" ht="15.75" customHeight="1">
      <c r="A348" s="23">
        <v>45412</v>
      </c>
      <c r="B348" s="24">
        <v>7.2499999999999995E-4</v>
      </c>
    </row>
    <row r="349" spans="1:2" ht="15.75" customHeight="1">
      <c r="A349" s="23">
        <v>45413</v>
      </c>
      <c r="B349" s="24">
        <v>7.2219999999999999E-4</v>
      </c>
    </row>
    <row r="350" spans="1:2" ht="15.75" customHeight="1">
      <c r="A350" s="23">
        <v>45414</v>
      </c>
      <c r="B350" s="24">
        <v>7.203E-4</v>
      </c>
    </row>
    <row r="351" spans="1:2" ht="15.75" customHeight="1">
      <c r="A351" s="23">
        <v>45415</v>
      </c>
      <c r="B351" s="24">
        <v>7.1679999999999997E-4</v>
      </c>
    </row>
    <row r="352" spans="1:2" ht="15.75" customHeight="1">
      <c r="A352" s="23">
        <v>45418</v>
      </c>
      <c r="B352" s="24">
        <v>7.1759999999999999E-4</v>
      </c>
    </row>
    <row r="353" spans="1:2" ht="15.75" customHeight="1">
      <c r="A353" s="23">
        <v>45419</v>
      </c>
      <c r="B353" s="24">
        <v>7.1650000000000001E-4</v>
      </c>
    </row>
    <row r="354" spans="1:2" ht="15.75" customHeight="1">
      <c r="A354" s="23">
        <v>45420</v>
      </c>
      <c r="B354" s="24">
        <v>7.1889999999999996E-4</v>
      </c>
    </row>
    <row r="355" spans="1:2" ht="15.75" customHeight="1">
      <c r="A355" s="23">
        <v>45421</v>
      </c>
      <c r="B355" s="24">
        <v>7.1319999999999999E-4</v>
      </c>
    </row>
    <row r="356" spans="1:2" ht="15.75" customHeight="1">
      <c r="A356" s="23">
        <v>45422</v>
      </c>
      <c r="B356" s="24">
        <v>7.1489999999999998E-4</v>
      </c>
    </row>
    <row r="357" spans="1:2" ht="15.75" customHeight="1">
      <c r="A357" s="23">
        <v>45425</v>
      </c>
      <c r="B357" s="24">
        <v>7.1449999999999997E-4</v>
      </c>
    </row>
    <row r="358" spans="1:2" ht="15.75" customHeight="1">
      <c r="A358" s="23">
        <v>45426</v>
      </c>
      <c r="B358" s="24">
        <v>7.1469999999999997E-4</v>
      </c>
    </row>
    <row r="359" spans="1:2" ht="15.75" customHeight="1">
      <c r="A359" s="23">
        <v>45427</v>
      </c>
      <c r="B359" s="24">
        <v>7.092E-4</v>
      </c>
    </row>
    <row r="360" spans="1:2" ht="15.75" customHeight="1">
      <c r="A360" s="23">
        <v>45428</v>
      </c>
      <c r="B360" s="24">
        <v>7.1080000000000004E-4</v>
      </c>
    </row>
    <row r="361" spans="1:2" ht="15.75" customHeight="1">
      <c r="A361" s="23">
        <v>45429</v>
      </c>
      <c r="B361" s="24">
        <v>7.092E-4</v>
      </c>
    </row>
    <row r="362" spans="1:2" ht="15.75" customHeight="1">
      <c r="A362" s="23">
        <v>45432</v>
      </c>
      <c r="B362" s="24">
        <v>7.115E-4</v>
      </c>
    </row>
    <row r="363" spans="1:2" ht="15.75" customHeight="1">
      <c r="A363" s="23">
        <v>45433</v>
      </c>
      <c r="B363" s="24">
        <v>7.1080000000000004E-4</v>
      </c>
    </row>
    <row r="364" spans="1:2" ht="15.75" customHeight="1">
      <c r="A364" s="23">
        <v>45434</v>
      </c>
      <c r="B364" s="24">
        <v>7.1279999999999998E-4</v>
      </c>
    </row>
    <row r="365" spans="1:2" ht="15.75" customHeight="1">
      <c r="A365" s="23">
        <v>45435</v>
      </c>
      <c r="B365" s="24">
        <v>7.0730000000000001E-4</v>
      </c>
    </row>
    <row r="366" spans="1:2" ht="15.75" customHeight="1">
      <c r="A366" s="23">
        <v>45436</v>
      </c>
      <c r="B366" s="24">
        <v>7.0120000000000002E-4</v>
      </c>
    </row>
    <row r="367" spans="1:2" ht="15.75" customHeight="1">
      <c r="A367" s="23">
        <v>45439</v>
      </c>
      <c r="B367" s="24">
        <v>7.0540000000000002E-4</v>
      </c>
    </row>
    <row r="368" spans="1:2" ht="15.75" customHeight="1">
      <c r="A368" s="23">
        <v>45440</v>
      </c>
      <c r="B368" s="24">
        <v>7.0890000000000005E-4</v>
      </c>
    </row>
    <row r="369" spans="1:2" ht="15.75" customHeight="1">
      <c r="A369" s="23">
        <v>45441</v>
      </c>
      <c r="B369" s="24">
        <v>7.1210000000000002E-4</v>
      </c>
    </row>
    <row r="370" spans="1:2" ht="15.75" customHeight="1">
      <c r="A370" s="23">
        <v>45442</v>
      </c>
      <c r="B370" s="24">
        <v>7.1069999999999998E-4</v>
      </c>
    </row>
    <row r="371" spans="1:2" ht="15.75" customHeight="1">
      <c r="A371" s="23">
        <v>45443</v>
      </c>
      <c r="B371" s="24">
        <v>7.0790000000000002E-4</v>
      </c>
    </row>
    <row r="372" spans="1:2" ht="15.75" customHeight="1">
      <c r="A372" s="23">
        <v>45446</v>
      </c>
      <c r="B372" s="24">
        <v>7.0589999999999997E-4</v>
      </c>
    </row>
    <row r="373" spans="1:2" ht="15.75" customHeight="1">
      <c r="A373" s="23">
        <v>45447</v>
      </c>
      <c r="B373" s="24">
        <v>7.0770000000000002E-4</v>
      </c>
    </row>
    <row r="374" spans="1:2" ht="15.75" customHeight="1">
      <c r="A374" s="23">
        <v>45448</v>
      </c>
      <c r="B374" s="24">
        <v>7.0640000000000004E-4</v>
      </c>
    </row>
    <row r="375" spans="1:2" ht="15.75" customHeight="1">
      <c r="A375" s="23">
        <v>45449</v>
      </c>
      <c r="B375" s="24">
        <v>7.0319999999999996E-4</v>
      </c>
    </row>
    <row r="376" spans="1:2" ht="15.75" customHeight="1">
      <c r="A376" s="23">
        <v>45450</v>
      </c>
      <c r="B376" s="24">
        <v>7.1159999999999995E-4</v>
      </c>
    </row>
    <row r="377" spans="1:2" ht="15.75" customHeight="1">
      <c r="A377" s="23">
        <v>45453</v>
      </c>
      <c r="B377" s="24">
        <v>7.0850000000000004E-4</v>
      </c>
    </row>
    <row r="378" spans="1:2" ht="15.75" customHeight="1">
      <c r="A378" s="23">
        <v>45454</v>
      </c>
      <c r="B378" s="24">
        <v>7.0660000000000004E-4</v>
      </c>
    </row>
    <row r="379" spans="1:2" ht="15.75" customHeight="1">
      <c r="A379" s="23">
        <v>45455</v>
      </c>
      <c r="B379" s="24">
        <v>7.0500000000000001E-4</v>
      </c>
    </row>
    <row r="380" spans="1:2" ht="15.75" customHeight="1">
      <c r="A380" s="23">
        <v>45456</v>
      </c>
      <c r="B380" s="24">
        <v>7.0430000000000004E-4</v>
      </c>
    </row>
    <row r="381" spans="1:2" ht="15.75" customHeight="1">
      <c r="A381" s="23">
        <v>45457</v>
      </c>
      <c r="B381" s="24">
        <v>7.1250000000000003E-4</v>
      </c>
    </row>
    <row r="382" spans="1:2" ht="15.75" customHeight="1">
      <c r="A382" s="23">
        <v>45460</v>
      </c>
      <c r="B382" s="24">
        <v>7.1290000000000004E-4</v>
      </c>
    </row>
    <row r="383" spans="1:2" ht="15.75" customHeight="1">
      <c r="A383" s="23">
        <v>45461</v>
      </c>
      <c r="B383" s="24">
        <v>7.1310000000000004E-4</v>
      </c>
    </row>
    <row r="384" spans="1:2" ht="15.75" customHeight="1">
      <c r="A384" s="23">
        <v>45462</v>
      </c>
      <c r="B384" s="24">
        <v>7.0949999999999995E-4</v>
      </c>
    </row>
    <row r="385" spans="1:2" ht="15.75" customHeight="1">
      <c r="A385" s="23">
        <v>45463</v>
      </c>
      <c r="B385" s="24">
        <v>7.1179999999999995E-4</v>
      </c>
    </row>
    <row r="386" spans="1:2" ht="15.75" customHeight="1">
      <c r="A386" s="23">
        <v>45464</v>
      </c>
      <c r="B386" s="24">
        <v>7.1120000000000005E-4</v>
      </c>
    </row>
    <row r="387" spans="1:2" ht="15.75" customHeight="1">
      <c r="A387" s="23">
        <v>45467</v>
      </c>
      <c r="B387" s="24">
        <v>7.1000000000000002E-4</v>
      </c>
    </row>
    <row r="388" spans="1:2" ht="15.75" customHeight="1">
      <c r="A388" s="25"/>
    </row>
    <row r="389" spans="1:2" ht="15.75" customHeight="1">
      <c r="A389" s="26"/>
    </row>
    <row r="390" spans="1:2" ht="15.75" customHeight="1">
      <c r="A390" s="26"/>
    </row>
    <row r="391" spans="1:2" ht="15.75" customHeight="1">
      <c r="A391" s="26"/>
    </row>
    <row r="392" spans="1:2" ht="15.75" customHeight="1">
      <c r="A392" s="26"/>
    </row>
    <row r="393" spans="1:2" ht="15.75" customHeight="1">
      <c r="A393" s="26"/>
    </row>
    <row r="394" spans="1:2" ht="15.75" customHeight="1">
      <c r="A394" s="26"/>
    </row>
    <row r="395" spans="1:2" ht="15.75" customHeight="1">
      <c r="A395" s="26"/>
    </row>
    <row r="396" spans="1:2" ht="15.75" customHeight="1">
      <c r="A396" s="26"/>
    </row>
    <row r="397" spans="1:2" ht="15.75" customHeight="1">
      <c r="A397" s="26"/>
    </row>
    <row r="398" spans="1:2" ht="15.75" customHeight="1">
      <c r="A398" s="26"/>
    </row>
    <row r="399" spans="1:2" ht="15.75" customHeight="1">
      <c r="A399" s="26"/>
    </row>
    <row r="400" spans="1:2" ht="15.75" customHeight="1">
      <c r="A400" s="26"/>
    </row>
    <row r="401" spans="1:1" ht="15.75" customHeight="1">
      <c r="A401" s="26"/>
    </row>
    <row r="402" spans="1:1" ht="15.75" customHeight="1">
      <c r="A402" s="26"/>
    </row>
    <row r="403" spans="1:1" ht="15.75" customHeight="1">
      <c r="A403" s="26"/>
    </row>
    <row r="404" spans="1:1" ht="15.75" customHeight="1">
      <c r="A404" s="26"/>
    </row>
    <row r="405" spans="1:1" ht="15.75" customHeight="1">
      <c r="A405" s="26"/>
    </row>
    <row r="406" spans="1:1" ht="15.75" customHeight="1">
      <c r="A406" s="26"/>
    </row>
    <row r="407" spans="1:1" ht="15.75" customHeight="1">
      <c r="A407" s="26"/>
    </row>
    <row r="408" spans="1:1" ht="15.75" customHeight="1">
      <c r="A408" s="26"/>
    </row>
    <row r="409" spans="1:1" ht="15.75" customHeight="1">
      <c r="A409" s="26"/>
    </row>
    <row r="410" spans="1:1" ht="15.75" customHeight="1">
      <c r="A410" s="26"/>
    </row>
    <row r="411" spans="1:1" ht="15.75" customHeight="1">
      <c r="A411" s="26"/>
    </row>
    <row r="412" spans="1:1" ht="15.75" customHeight="1">
      <c r="A412" s="26"/>
    </row>
    <row r="413" spans="1:1" ht="15.75" customHeight="1">
      <c r="A413" s="26"/>
    </row>
    <row r="414" spans="1:1" ht="15.75" customHeight="1">
      <c r="A414" s="26"/>
    </row>
    <row r="415" spans="1:1" ht="15.75" customHeight="1">
      <c r="A415" s="26"/>
    </row>
    <row r="416" spans="1:1" ht="15.75" customHeight="1">
      <c r="A416" s="26"/>
    </row>
    <row r="417" spans="1:1" ht="15.75" customHeight="1">
      <c r="A417" s="26"/>
    </row>
    <row r="418" spans="1:1" ht="15.75" customHeight="1">
      <c r="A418" s="26"/>
    </row>
    <row r="419" spans="1:1" ht="15.75" customHeight="1">
      <c r="A419" s="26"/>
    </row>
    <row r="420" spans="1:1" ht="15.75" customHeight="1">
      <c r="A420" s="26"/>
    </row>
    <row r="421" spans="1:1" ht="15.75" customHeight="1">
      <c r="A421" s="26"/>
    </row>
    <row r="422" spans="1:1" ht="15.75" customHeight="1">
      <c r="A422" s="26"/>
    </row>
    <row r="423" spans="1:1" ht="15.75" customHeight="1">
      <c r="A423" s="26"/>
    </row>
    <row r="424" spans="1:1" ht="15.75" customHeight="1">
      <c r="A424" s="26"/>
    </row>
    <row r="425" spans="1:1" ht="15.75" customHeight="1">
      <c r="A425" s="26"/>
    </row>
    <row r="426" spans="1:1" ht="15.75" customHeight="1">
      <c r="A426" s="26"/>
    </row>
    <row r="427" spans="1:1" ht="15.75" customHeight="1">
      <c r="A427" s="26"/>
    </row>
    <row r="428" spans="1:1" ht="15.75" customHeight="1">
      <c r="A428" s="26"/>
    </row>
    <row r="429" spans="1:1" ht="15.75" customHeight="1">
      <c r="A429" s="26"/>
    </row>
    <row r="430" spans="1:1" ht="15.75" customHeight="1">
      <c r="A430" s="26"/>
    </row>
    <row r="431" spans="1:1" ht="15.75" customHeight="1">
      <c r="A431" s="26"/>
    </row>
    <row r="432" spans="1:1" ht="15.75" customHeight="1">
      <c r="A432" s="26"/>
    </row>
    <row r="433" spans="1:1" ht="15.75" customHeight="1">
      <c r="A433" s="26"/>
    </row>
    <row r="434" spans="1:1" ht="15.75" customHeight="1">
      <c r="A434" s="26"/>
    </row>
    <row r="435" spans="1:1" ht="15.75" customHeight="1">
      <c r="A435" s="26"/>
    </row>
    <row r="436" spans="1:1" ht="15.75" customHeight="1">
      <c r="A436" s="26"/>
    </row>
    <row r="437" spans="1:1" ht="15.75" customHeight="1">
      <c r="A437" s="26"/>
    </row>
    <row r="438" spans="1:1" ht="15.75" customHeight="1">
      <c r="A438" s="26"/>
    </row>
    <row r="439" spans="1:1" ht="15.75" customHeight="1">
      <c r="A439" s="26"/>
    </row>
    <row r="440" spans="1:1" ht="15.75" customHeight="1">
      <c r="A440" s="26"/>
    </row>
    <row r="441" spans="1:1" ht="15.75" customHeight="1">
      <c r="A441" s="26"/>
    </row>
    <row r="442" spans="1:1" ht="15.75" customHeight="1">
      <c r="A442" s="26"/>
    </row>
    <row r="443" spans="1:1" ht="15.75" customHeight="1">
      <c r="A443" s="26"/>
    </row>
    <row r="444" spans="1:1" ht="15.75" customHeight="1">
      <c r="A444" s="26"/>
    </row>
    <row r="445" spans="1:1" ht="15.75" customHeight="1">
      <c r="A445" s="26"/>
    </row>
    <row r="446" spans="1:1" ht="15.75" customHeight="1">
      <c r="A446" s="26"/>
    </row>
    <row r="447" spans="1:1" ht="15.75" customHeight="1">
      <c r="A447" s="26"/>
    </row>
    <row r="448" spans="1:1" ht="15.75" customHeight="1">
      <c r="A448" s="26"/>
    </row>
    <row r="449" spans="1:1" ht="15.75" customHeight="1">
      <c r="A449" s="26"/>
    </row>
    <row r="450" spans="1:1" ht="15.75" customHeight="1">
      <c r="A450" s="26"/>
    </row>
    <row r="451" spans="1:1" ht="15.75" customHeight="1">
      <c r="A451" s="26"/>
    </row>
    <row r="452" spans="1:1" ht="15.75" customHeight="1">
      <c r="A452" s="26"/>
    </row>
    <row r="453" spans="1:1" ht="15.75" customHeight="1">
      <c r="A453" s="26"/>
    </row>
    <row r="454" spans="1:1" ht="15.75" customHeight="1">
      <c r="A454" s="26"/>
    </row>
    <row r="455" spans="1:1" ht="15.75" customHeight="1">
      <c r="A455" s="26"/>
    </row>
    <row r="456" spans="1:1" ht="15.75" customHeight="1">
      <c r="A456" s="26"/>
    </row>
    <row r="457" spans="1:1" ht="15.75" customHeight="1">
      <c r="A457" s="26"/>
    </row>
    <row r="458" spans="1:1" ht="15.75" customHeight="1">
      <c r="A458" s="26"/>
    </row>
    <row r="459" spans="1:1" ht="15.75" customHeight="1">
      <c r="A459" s="26"/>
    </row>
    <row r="460" spans="1:1" ht="15.75" customHeight="1">
      <c r="A460" s="26"/>
    </row>
    <row r="461" spans="1:1" ht="15.75" customHeight="1">
      <c r="A461" s="26"/>
    </row>
    <row r="462" spans="1:1" ht="15.75" customHeight="1">
      <c r="A462" s="26"/>
    </row>
    <row r="463" spans="1:1" ht="15.75" customHeight="1">
      <c r="A463" s="26"/>
    </row>
    <row r="464" spans="1:1" ht="15.75" customHeight="1">
      <c r="A464" s="26"/>
    </row>
    <row r="465" spans="1:1" ht="15.75" customHeight="1">
      <c r="A465" s="26"/>
    </row>
    <row r="466" spans="1:1" ht="15.75" customHeight="1">
      <c r="A466" s="26"/>
    </row>
    <row r="467" spans="1:1" ht="15.75" customHeight="1">
      <c r="A467" s="26"/>
    </row>
    <row r="468" spans="1:1" ht="15.75" customHeight="1">
      <c r="A468" s="26"/>
    </row>
    <row r="469" spans="1:1" ht="15.75" customHeight="1">
      <c r="A469" s="26"/>
    </row>
    <row r="470" spans="1:1" ht="15.75" customHeight="1">
      <c r="A470" s="26"/>
    </row>
    <row r="471" spans="1:1" ht="15.75" customHeight="1">
      <c r="A471" s="26"/>
    </row>
    <row r="472" spans="1:1" ht="15.75" customHeight="1">
      <c r="A472" s="26"/>
    </row>
    <row r="473" spans="1:1" ht="15.75" customHeight="1">
      <c r="A473" s="26"/>
    </row>
    <row r="474" spans="1:1" ht="15.75" customHeight="1">
      <c r="A474" s="26"/>
    </row>
    <row r="475" spans="1:1" ht="15.75" customHeight="1">
      <c r="A475" s="26"/>
    </row>
    <row r="476" spans="1:1" ht="15.75" customHeight="1">
      <c r="A476" s="26"/>
    </row>
    <row r="477" spans="1:1" ht="15.75" customHeight="1">
      <c r="A477" s="26"/>
    </row>
    <row r="478" spans="1:1" ht="15.75" customHeight="1">
      <c r="A478" s="26"/>
    </row>
    <row r="479" spans="1:1" ht="15.75" customHeight="1">
      <c r="A479" s="26"/>
    </row>
    <row r="480" spans="1:1" ht="15.75" customHeight="1">
      <c r="A480" s="26"/>
    </row>
    <row r="481" spans="1:1" ht="15.75" customHeight="1">
      <c r="A481" s="26"/>
    </row>
    <row r="482" spans="1:1" ht="15.75" customHeight="1">
      <c r="A482" s="26"/>
    </row>
    <row r="483" spans="1:1" ht="15.75" customHeight="1">
      <c r="A483" s="26"/>
    </row>
    <row r="484" spans="1:1" ht="15.75" customHeight="1">
      <c r="A484" s="26"/>
    </row>
    <row r="485" spans="1:1" ht="15.75" customHeight="1">
      <c r="A485" s="26"/>
    </row>
    <row r="486" spans="1:1" ht="15.75" customHeight="1">
      <c r="A486" s="26"/>
    </row>
    <row r="487" spans="1:1" ht="15.75" customHeight="1">
      <c r="A487" s="26"/>
    </row>
    <row r="488" spans="1:1" ht="15.75" customHeight="1">
      <c r="A488" s="26"/>
    </row>
    <row r="489" spans="1:1" ht="15.75" customHeight="1">
      <c r="A489" s="26"/>
    </row>
    <row r="490" spans="1:1" ht="15.75" customHeight="1">
      <c r="A490" s="26"/>
    </row>
    <row r="491" spans="1:1" ht="15.75" customHeight="1">
      <c r="A491" s="26"/>
    </row>
    <row r="492" spans="1:1" ht="15.75" customHeight="1">
      <c r="A492" s="26"/>
    </row>
    <row r="493" spans="1:1" ht="15.75" customHeight="1">
      <c r="A493" s="26"/>
    </row>
    <row r="494" spans="1:1" ht="15.75" customHeight="1">
      <c r="A494" s="26"/>
    </row>
    <row r="495" spans="1:1" ht="15.75" customHeight="1">
      <c r="A495" s="26"/>
    </row>
    <row r="496" spans="1:1" ht="15.75" customHeight="1">
      <c r="A496" s="26"/>
    </row>
    <row r="497" spans="1:1" ht="15.75" customHeight="1">
      <c r="A497" s="26"/>
    </row>
    <row r="498" spans="1:1" ht="15.75" customHeight="1">
      <c r="A498" s="26"/>
    </row>
    <row r="499" spans="1:1" ht="15.75" customHeight="1">
      <c r="A499" s="26"/>
    </row>
    <row r="500" spans="1:1" ht="15.75" customHeight="1">
      <c r="A500" s="26"/>
    </row>
    <row r="501" spans="1:1" ht="15.75" customHeight="1">
      <c r="A501" s="26"/>
    </row>
    <row r="502" spans="1:1" ht="15.75" customHeight="1">
      <c r="A502" s="26"/>
    </row>
    <row r="503" spans="1:1" ht="15.75" customHeight="1">
      <c r="A503" s="26"/>
    </row>
    <row r="504" spans="1:1" ht="15.75" customHeight="1">
      <c r="A504" s="26"/>
    </row>
    <row r="505" spans="1:1" ht="15.75" customHeight="1">
      <c r="A505" s="26"/>
    </row>
    <row r="506" spans="1:1" ht="15.75" customHeight="1">
      <c r="A506" s="26"/>
    </row>
    <row r="507" spans="1:1" ht="15.75" customHeight="1">
      <c r="A507" s="26"/>
    </row>
    <row r="508" spans="1:1" ht="15.75" customHeight="1">
      <c r="A508" s="26"/>
    </row>
    <row r="509" spans="1:1" ht="15.75" customHeight="1">
      <c r="A509" s="26"/>
    </row>
    <row r="510" spans="1:1" ht="15.75" customHeight="1">
      <c r="A510" s="26"/>
    </row>
    <row r="511" spans="1:1" ht="15.75" customHeight="1">
      <c r="A511" s="26"/>
    </row>
    <row r="512" spans="1:1" ht="15.75" customHeight="1">
      <c r="A512" s="26"/>
    </row>
    <row r="513" spans="1:1" ht="15.75" customHeight="1">
      <c r="A513" s="26"/>
    </row>
    <row r="514" spans="1:1" ht="15.75" customHeight="1">
      <c r="A514" s="26"/>
    </row>
    <row r="515" spans="1:1" ht="15.75" customHeight="1">
      <c r="A515" s="26"/>
    </row>
    <row r="516" spans="1:1" ht="15.75" customHeight="1">
      <c r="A516" s="26"/>
    </row>
    <row r="517" spans="1:1" ht="15.75" customHeight="1">
      <c r="A517" s="26"/>
    </row>
    <row r="518" spans="1:1" ht="15.75" customHeight="1">
      <c r="A518" s="26"/>
    </row>
    <row r="519" spans="1:1" ht="15.75" customHeight="1">
      <c r="A519" s="26"/>
    </row>
    <row r="520" spans="1:1" ht="15.75" customHeight="1">
      <c r="A520" s="26"/>
    </row>
    <row r="521" spans="1:1" ht="15.75" customHeight="1">
      <c r="A521" s="26"/>
    </row>
    <row r="522" spans="1:1" ht="15.75" customHeight="1">
      <c r="A522" s="26"/>
    </row>
    <row r="523" spans="1:1" ht="15.75" customHeight="1">
      <c r="A523" s="26"/>
    </row>
    <row r="524" spans="1:1" ht="15.75" customHeight="1">
      <c r="A524" s="26"/>
    </row>
    <row r="525" spans="1:1" ht="15.75" customHeight="1">
      <c r="A525" s="26"/>
    </row>
    <row r="526" spans="1:1" ht="15.75" customHeight="1">
      <c r="A526" s="26"/>
    </row>
    <row r="527" spans="1:1" ht="15.75" customHeight="1">
      <c r="A527" s="26"/>
    </row>
    <row r="528" spans="1:1" ht="15.75" customHeight="1">
      <c r="A528" s="26"/>
    </row>
    <row r="529" spans="1:1" ht="15.75" customHeight="1">
      <c r="A529" s="26"/>
    </row>
    <row r="530" spans="1:1" ht="15.75" customHeight="1">
      <c r="A530" s="26"/>
    </row>
    <row r="531" spans="1:1" ht="15.75" customHeight="1">
      <c r="A531" s="26"/>
    </row>
    <row r="532" spans="1:1" ht="15.75" customHeight="1">
      <c r="A532" s="26"/>
    </row>
    <row r="533" spans="1:1" ht="15.75" customHeight="1">
      <c r="A533" s="26"/>
    </row>
    <row r="534" spans="1:1" ht="15.75" customHeight="1">
      <c r="A534" s="26"/>
    </row>
    <row r="535" spans="1:1" ht="15.75" customHeight="1">
      <c r="A535" s="26"/>
    </row>
    <row r="536" spans="1:1" ht="15.75" customHeight="1">
      <c r="A536" s="26"/>
    </row>
    <row r="537" spans="1:1" ht="15.75" customHeight="1">
      <c r="A537" s="26"/>
    </row>
    <row r="538" spans="1:1" ht="15.75" customHeight="1">
      <c r="A538" s="26"/>
    </row>
    <row r="539" spans="1:1" ht="15.75" customHeight="1">
      <c r="A539" s="26"/>
    </row>
    <row r="540" spans="1:1" ht="15.75" customHeight="1">
      <c r="A540" s="26"/>
    </row>
    <row r="541" spans="1:1" ht="15.75" customHeight="1">
      <c r="A541" s="26"/>
    </row>
    <row r="542" spans="1:1" ht="15.75" customHeight="1">
      <c r="A542" s="26"/>
    </row>
    <row r="543" spans="1:1" ht="15.75" customHeight="1">
      <c r="A543" s="26"/>
    </row>
    <row r="544" spans="1:1" ht="15.75" customHeight="1">
      <c r="A544" s="26"/>
    </row>
    <row r="545" spans="1:1" ht="15.75" customHeight="1">
      <c r="A545" s="26"/>
    </row>
    <row r="546" spans="1:1" ht="15.75" customHeight="1">
      <c r="A546" s="26"/>
    </row>
    <row r="547" spans="1:1" ht="15.75" customHeight="1">
      <c r="A547" s="26"/>
    </row>
    <row r="548" spans="1:1" ht="15.75" customHeight="1">
      <c r="A548" s="26"/>
    </row>
    <row r="549" spans="1:1" ht="15.75" customHeight="1">
      <c r="A549" s="26"/>
    </row>
    <row r="550" spans="1:1" ht="15.75" customHeight="1">
      <c r="A550" s="26"/>
    </row>
    <row r="551" spans="1:1" ht="15.75" customHeight="1">
      <c r="A551" s="26"/>
    </row>
    <row r="552" spans="1:1" ht="15.75" customHeight="1">
      <c r="A552" s="26"/>
    </row>
    <row r="553" spans="1:1" ht="15.75" customHeight="1">
      <c r="A553" s="26"/>
    </row>
    <row r="554" spans="1:1" ht="15.75" customHeight="1">
      <c r="A554" s="26"/>
    </row>
    <row r="555" spans="1:1" ht="15.75" customHeight="1">
      <c r="A555" s="26"/>
    </row>
    <row r="556" spans="1:1" ht="15.75" customHeight="1">
      <c r="A556" s="26"/>
    </row>
    <row r="557" spans="1:1" ht="15.75" customHeight="1">
      <c r="A557" s="26"/>
    </row>
    <row r="558" spans="1:1" ht="15.75" customHeight="1">
      <c r="A558" s="26"/>
    </row>
    <row r="559" spans="1:1" ht="15.75" customHeight="1">
      <c r="A559" s="26"/>
    </row>
    <row r="560" spans="1:1" ht="15.75" customHeight="1">
      <c r="A560" s="26"/>
    </row>
    <row r="561" spans="1:1" ht="15.75" customHeight="1">
      <c r="A561" s="26"/>
    </row>
    <row r="562" spans="1:1" ht="15.75" customHeight="1">
      <c r="A562" s="26"/>
    </row>
    <row r="563" spans="1:1" ht="15.75" customHeight="1">
      <c r="A563" s="26"/>
    </row>
    <row r="564" spans="1:1" ht="15.75" customHeight="1">
      <c r="A564" s="26"/>
    </row>
    <row r="565" spans="1:1" ht="15.75" customHeight="1">
      <c r="A565" s="26"/>
    </row>
    <row r="566" spans="1:1" ht="15.75" customHeight="1">
      <c r="A566" s="26"/>
    </row>
    <row r="567" spans="1:1" ht="15.75" customHeight="1">
      <c r="A567" s="26"/>
    </row>
    <row r="568" spans="1:1" ht="15.75" customHeight="1">
      <c r="A568" s="26"/>
    </row>
    <row r="569" spans="1:1" ht="15.75" customHeight="1">
      <c r="A569" s="26"/>
    </row>
    <row r="570" spans="1:1" ht="15.75" customHeight="1">
      <c r="A570" s="26"/>
    </row>
    <row r="571" spans="1:1" ht="15.75" customHeight="1">
      <c r="A571" s="26"/>
    </row>
    <row r="572" spans="1:1" ht="15.75" customHeight="1">
      <c r="A572" s="26"/>
    </row>
    <row r="573" spans="1:1" ht="15.75" customHeight="1">
      <c r="A573" s="26"/>
    </row>
    <row r="574" spans="1:1" ht="15.75" customHeight="1">
      <c r="A574" s="26"/>
    </row>
    <row r="575" spans="1:1" ht="15.75" customHeight="1">
      <c r="A575" s="26"/>
    </row>
    <row r="576" spans="1:1" ht="15.75" customHeight="1">
      <c r="A576" s="26"/>
    </row>
    <row r="577" spans="1:1" ht="15.75" customHeight="1">
      <c r="A577" s="26"/>
    </row>
    <row r="578" spans="1:1" ht="15.75" customHeight="1">
      <c r="A578" s="26"/>
    </row>
    <row r="579" spans="1:1" ht="15.75" customHeight="1">
      <c r="A579" s="26"/>
    </row>
    <row r="580" spans="1:1" ht="15.75" customHeight="1">
      <c r="A580" s="26"/>
    </row>
    <row r="581" spans="1:1" ht="15.75" customHeight="1">
      <c r="A581" s="26"/>
    </row>
    <row r="582" spans="1:1" ht="15.75" customHeight="1">
      <c r="A582" s="26"/>
    </row>
    <row r="583" spans="1:1" ht="15.75" customHeight="1">
      <c r="A583" s="26"/>
    </row>
    <row r="584" spans="1:1" ht="15.75" customHeight="1">
      <c r="A584" s="26"/>
    </row>
    <row r="585" spans="1:1" ht="15.75" customHeight="1">
      <c r="A585" s="26"/>
    </row>
    <row r="586" spans="1:1" ht="15.75" customHeight="1">
      <c r="A586" s="26"/>
    </row>
    <row r="587" spans="1:1" ht="15.75" customHeight="1">
      <c r="A587" s="26"/>
    </row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6640625" defaultRowHeight="15" customHeight="1"/>
  <cols>
    <col min="1" max="1" width="11.109375" customWidth="1"/>
    <col min="2" max="2" width="41.33203125" customWidth="1"/>
    <col min="3" max="4" width="11.109375" customWidth="1"/>
    <col min="5" max="5" width="27.33203125" customWidth="1"/>
    <col min="6" max="26" width="11.109375" customWidth="1"/>
  </cols>
  <sheetData>
    <row r="1" spans="1:5" ht="15.75" customHeight="1"/>
    <row r="2" spans="1:5" ht="15.75" customHeight="1"/>
    <row r="3" spans="1:5" ht="15.75" customHeight="1"/>
    <row r="4" spans="1:5" ht="15.75" customHeight="1">
      <c r="B4" s="27" t="s">
        <v>39</v>
      </c>
      <c r="E4" s="27" t="s">
        <v>13</v>
      </c>
    </row>
    <row r="5" spans="1:5" ht="15.75" customHeight="1">
      <c r="A5" s="19" t="s">
        <v>40</v>
      </c>
      <c r="B5" s="28" t="s">
        <v>41</v>
      </c>
      <c r="E5" s="28" t="s">
        <v>42</v>
      </c>
    </row>
    <row r="6" spans="1:5" ht="15.75" customHeight="1">
      <c r="A6" s="19" t="s">
        <v>43</v>
      </c>
      <c r="B6" s="29" t="s">
        <v>44</v>
      </c>
      <c r="E6" s="29" t="s">
        <v>45</v>
      </c>
    </row>
    <row r="7" spans="1:5" ht="15.75" customHeight="1">
      <c r="A7" s="19" t="s">
        <v>46</v>
      </c>
      <c r="B7" s="28" t="s">
        <v>47</v>
      </c>
      <c r="E7" s="28" t="s">
        <v>48</v>
      </c>
    </row>
    <row r="8" spans="1:5" ht="15.75" customHeight="1">
      <c r="A8" s="19" t="s">
        <v>49</v>
      </c>
      <c r="B8" s="29" t="s">
        <v>50</v>
      </c>
      <c r="E8" s="29" t="s">
        <v>51</v>
      </c>
    </row>
    <row r="9" spans="1:5" ht="15.75" customHeight="1">
      <c r="A9" s="19" t="s">
        <v>18</v>
      </c>
      <c r="B9" s="28" t="s">
        <v>52</v>
      </c>
      <c r="E9" s="28" t="s">
        <v>21</v>
      </c>
    </row>
    <row r="10" spans="1:5" ht="15.75" customHeight="1">
      <c r="A10" s="19" t="s">
        <v>53</v>
      </c>
      <c r="B10" s="29" t="s">
        <v>54</v>
      </c>
      <c r="E10" s="29" t="s">
        <v>28</v>
      </c>
    </row>
    <row r="11" spans="1:5" ht="15.75" customHeight="1">
      <c r="A11" s="19" t="s">
        <v>55</v>
      </c>
      <c r="B11" s="28" t="s">
        <v>56</v>
      </c>
      <c r="E11" s="28" t="s">
        <v>57</v>
      </c>
    </row>
    <row r="12" spans="1:5" ht="15.75" customHeight="1">
      <c r="A12" s="19" t="s">
        <v>58</v>
      </c>
      <c r="B12" s="29" t="s">
        <v>59</v>
      </c>
    </row>
    <row r="13" spans="1:5" ht="15.75" customHeight="1"/>
    <row r="14" spans="1:5" ht="15.75" customHeight="1">
      <c r="C14" s="19" t="s">
        <v>60</v>
      </c>
    </row>
    <row r="15" spans="1:5" ht="15.75" customHeight="1"/>
    <row r="16" spans="1:5" ht="15.75" customHeight="1">
      <c r="B16" s="27" t="s">
        <v>61</v>
      </c>
      <c r="E16" s="27" t="s">
        <v>9</v>
      </c>
    </row>
    <row r="17" spans="2:5" ht="15.75" customHeight="1">
      <c r="B17" s="28" t="s">
        <v>20</v>
      </c>
      <c r="E17" s="28" t="s">
        <v>62</v>
      </c>
    </row>
    <row r="18" spans="2:5" ht="15.75" customHeight="1">
      <c r="B18" s="29" t="s">
        <v>63</v>
      </c>
      <c r="E18" s="29" t="s">
        <v>19</v>
      </c>
    </row>
    <row r="19" spans="2:5" ht="15.75" customHeight="1">
      <c r="B19" s="28" t="s">
        <v>64</v>
      </c>
    </row>
    <row r="20" spans="2:5" ht="15.75" customHeight="1">
      <c r="B20" s="29" t="s">
        <v>65</v>
      </c>
    </row>
    <row r="21" spans="2:5" ht="15.75" customHeight="1">
      <c r="B21" s="28" t="s">
        <v>34</v>
      </c>
    </row>
    <row r="22" spans="2:5" ht="15.75" customHeight="1">
      <c r="B22" s="29" t="s">
        <v>27</v>
      </c>
    </row>
    <row r="23" spans="2:5" ht="15.75" customHeight="1">
      <c r="B23" s="28" t="s">
        <v>66</v>
      </c>
    </row>
    <row r="24" spans="2:5" ht="15.75" customHeight="1">
      <c r="B24" s="29" t="s">
        <v>31</v>
      </c>
    </row>
    <row r="25" spans="2:5" ht="15.75" customHeight="1"/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 report</vt:lpstr>
      <vt:lpstr>Exch. rate</vt:lpstr>
      <vt:lpstr>Drop-down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2024-06-25T10:15:13Z</dcterms:created>
  <dcterms:modified xsi:type="dcterms:W3CDTF">2024-08-27T15:34:04Z</dcterms:modified>
</cp:coreProperties>
</file>